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OPCIONES" sheetId="1" state="visible" r:id="rId1"/>
    <sheet xmlns:r="http://schemas.openxmlformats.org/officeDocument/2006/relationships" name="DAL_BPS" sheetId="2" state="visible" r:id="rId2"/>
    <sheet xmlns:r="http://schemas.openxmlformats.org/officeDocument/2006/relationships" name="MSFT_BPS" sheetId="3" state="visible" r:id="rId3"/>
    <sheet xmlns:r="http://schemas.openxmlformats.org/officeDocument/2006/relationships" name="AAPL_BCS" sheetId="4" state="visible" r:id="rId4"/>
    <sheet xmlns:r="http://schemas.openxmlformats.org/officeDocument/2006/relationships" name="SPY_FLY" sheetId="5" state="visible" r:id="rId5"/>
    <sheet xmlns:r="http://schemas.openxmlformats.org/officeDocument/2006/relationships" name="NVDA_B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</font>
    <font>
      <b val="1"/>
      <color rgb="001F4E78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4" fillId="5" borderId="0" pivotButton="0" quotePrefix="0" xfId="0"/>
    <xf numFmtId="0" fontId="0" fillId="5" borderId="0" pivotButton="0" quotePrefix="0" xfId="0"/>
    <xf numFmtId="3" fontId="0" fillId="5" borderId="0" pivotButton="0" quotePrefix="0" xfId="0"/>
    <xf numFmtId="164" fontId="0" fillId="5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3" fontId="0" fillId="3" borderId="1" pivotButton="0" quotePrefix="0" xfId="0"/>
    <xf numFmtId="3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PORTAFOLIO DE OPCIONES — Resumen (entrada 2-jul-2026)</t>
        </is>
      </c>
    </row>
    <row r="3">
      <c r="A3" s="2" t="inlineStr">
        <is>
          <t>Activo</t>
        </is>
      </c>
      <c r="B3" s="2" t="inlineStr">
        <is>
          <t>Derivado</t>
        </is>
      </c>
      <c r="C3" s="2" t="inlineStr">
        <is>
          <t>Estrategia</t>
        </is>
      </c>
      <c r="D3" s="2" t="inlineStr">
        <is>
          <t>Posicion/Sesgo</t>
        </is>
      </c>
      <c r="E3" s="2" t="inlineStr">
        <is>
          <t>Spot</t>
        </is>
      </c>
      <c r="F3" s="2" t="inlineStr">
        <is>
          <t>Strikes</t>
        </is>
      </c>
      <c r="G3" s="2" t="inlineStr">
        <is>
          <t>Prima neta/acc</t>
        </is>
      </c>
      <c r="H3" s="2" t="inlineStr">
        <is>
          <t>Contratos</t>
        </is>
      </c>
      <c r="I3" s="2" t="inlineStr">
        <is>
          <t>Valor nocional</t>
        </is>
      </c>
      <c r="J3" s="2" t="inlineStr">
        <is>
          <t>Cap. en riesgo</t>
        </is>
      </c>
      <c r="K3" s="2" t="inlineStr">
        <is>
          <t>Peso riesgo</t>
        </is>
      </c>
    </row>
    <row r="4">
      <c r="A4" s="3" t="inlineStr">
        <is>
          <t>DAL</t>
        </is>
      </c>
      <c r="B4" s="3" t="inlineStr">
        <is>
          <t>Opcion</t>
        </is>
      </c>
      <c r="C4" s="3" t="inlineStr">
        <is>
          <t>Bull Put Spread</t>
        </is>
      </c>
      <c r="D4" s="3" t="inlineStr">
        <is>
          <t>Alcista / neutral</t>
        </is>
      </c>
      <c r="E4" s="3" t="n">
        <v>92.75</v>
      </c>
      <c r="F4" s="3" t="inlineStr">
        <is>
          <t>90/85</t>
        </is>
      </c>
      <c r="G4" s="4" t="n">
        <v>1.31</v>
      </c>
      <c r="H4" s="3" t="n">
        <v>40</v>
      </c>
      <c r="I4" s="5" t="n">
        <v>371000</v>
      </c>
      <c r="J4" s="5" t="n">
        <v>14760</v>
      </c>
      <c r="K4" s="6" t="n">
        <v>0.2860465116279072</v>
      </c>
    </row>
    <row r="5">
      <c r="A5" s="3" t="inlineStr">
        <is>
          <t>MSFT</t>
        </is>
      </c>
      <c r="B5" s="3" t="inlineStr">
        <is>
          <t>Opcion</t>
        </is>
      </c>
      <c r="C5" s="3" t="inlineStr">
        <is>
          <t>Bull Put Spread</t>
        </is>
      </c>
      <c r="D5" s="3" t="inlineStr">
        <is>
          <t>Alcista</t>
        </is>
      </c>
      <c r="E5" s="3" t="n">
        <v>390.49</v>
      </c>
      <c r="F5" s="3" t="inlineStr">
        <is>
          <t>385/380</t>
        </is>
      </c>
      <c r="G5" s="4" t="n">
        <v>1.64</v>
      </c>
      <c r="H5" s="3" t="n">
        <v>30</v>
      </c>
      <c r="I5" s="5" t="n">
        <v>1171470</v>
      </c>
      <c r="J5" s="5" t="n">
        <v>10080</v>
      </c>
      <c r="K5" s="6" t="n">
        <v>0.1953488372093024</v>
      </c>
    </row>
    <row r="6">
      <c r="A6" s="3" t="inlineStr">
        <is>
          <t>AAPL</t>
        </is>
      </c>
      <c r="B6" s="3" t="inlineStr">
        <is>
          <t>Opcion</t>
        </is>
      </c>
      <c r="C6" s="3" t="inlineStr">
        <is>
          <t>Bull Call Spread</t>
        </is>
      </c>
      <c r="D6" s="3" t="inlineStr">
        <is>
          <t>Alcista</t>
        </is>
      </c>
      <c r="E6" s="3" t="n">
        <v>308.63</v>
      </c>
      <c r="F6" s="3" t="inlineStr">
        <is>
          <t>310/322.5</t>
        </is>
      </c>
      <c r="G6" s="4" t="n">
        <v>-3.26</v>
      </c>
      <c r="H6" s="3" t="n">
        <v>30</v>
      </c>
      <c r="I6" s="5" t="n">
        <v>925890</v>
      </c>
      <c r="J6" s="5" t="n">
        <v>9780</v>
      </c>
      <c r="K6" s="6" t="n">
        <v>0.1895348837209301</v>
      </c>
    </row>
    <row r="7">
      <c r="A7" s="3" t="inlineStr">
        <is>
          <t>SPY</t>
        </is>
      </c>
      <c r="B7" s="3" t="inlineStr">
        <is>
          <t>Opcion</t>
        </is>
      </c>
      <c r="C7" s="3" t="inlineStr">
        <is>
          <t>Butterfly Spread (calls)</t>
        </is>
      </c>
      <c r="D7" s="3" t="inlineStr">
        <is>
          <t>Neutral (rango)</t>
        </is>
      </c>
      <c r="E7" s="3" t="n">
        <v>744.78</v>
      </c>
      <c r="F7" s="3" t="inlineStr">
        <is>
          <t>745/755/765</t>
        </is>
      </c>
      <c r="G7" s="4" t="n">
        <v>-1.1</v>
      </c>
      <c r="H7" s="3" t="n">
        <v>50</v>
      </c>
      <c r="I7" s="5" t="n">
        <v>3723900</v>
      </c>
      <c r="J7" s="5" t="n">
        <v>5500</v>
      </c>
      <c r="K7" s="6" t="n">
        <v>0.1065891472868214</v>
      </c>
    </row>
    <row r="8">
      <c r="A8" s="3" t="inlineStr">
        <is>
          <t>NVDA</t>
        </is>
      </c>
      <c r="B8" s="3" t="inlineStr">
        <is>
          <t>Opcion</t>
        </is>
      </c>
      <c r="C8" s="3" t="inlineStr">
        <is>
          <t>Bear Call Spread</t>
        </is>
      </c>
      <c r="D8" s="3" t="inlineStr">
        <is>
          <t>Bajista / neutral</t>
        </is>
      </c>
      <c r="E8" s="3" t="n">
        <v>194.83</v>
      </c>
      <c r="F8" s="3" t="inlineStr">
        <is>
          <t>195/200</t>
        </is>
      </c>
      <c r="G8" s="4" t="n">
        <v>2.13</v>
      </c>
      <c r="H8" s="3" t="n">
        <v>40</v>
      </c>
      <c r="I8" s="5" t="n">
        <v>779320</v>
      </c>
      <c r="J8" s="5" t="n">
        <v>11480</v>
      </c>
      <c r="K8" s="6" t="n">
        <v>0.222480620155039</v>
      </c>
    </row>
    <row r="9">
      <c r="A9" s="7" t="inlineStr">
        <is>
          <t>TOTAL</t>
        </is>
      </c>
      <c r="B9" s="8" t="n"/>
      <c r="C9" s="8" t="n"/>
      <c r="D9" s="8" t="n"/>
      <c r="E9" s="8" t="n"/>
      <c r="F9" s="8" t="n"/>
      <c r="G9" s="8" t="n"/>
      <c r="H9" s="8" t="n"/>
      <c r="I9" s="9">
        <f>SUM(I4:I8)</f>
        <v/>
      </c>
      <c r="J9" s="9">
        <f>SUM(J4:J8)</f>
        <v/>
      </c>
      <c r="K9" s="10">
        <f>SUM(K4:K8)</f>
        <v/>
      </c>
    </row>
    <row r="12">
      <c r="A12" s="11" t="inlineStr">
        <is>
          <t>DISTRIBUCION POR ESTRATEGIA (por capital en riesgo)</t>
        </is>
      </c>
    </row>
    <row r="13">
      <c r="A13" s="11" t="inlineStr">
        <is>
          <t>DISTRIBUCION POR ESTRATEGIA</t>
        </is>
      </c>
    </row>
    <row r="14">
      <c r="A14" s="2" t="inlineStr">
        <is>
          <t>Categoria</t>
        </is>
      </c>
      <c r="B14" s="2" t="inlineStr">
        <is>
          <t>Cap. riesgo</t>
        </is>
      </c>
      <c r="C14" s="2" t="inlineStr">
        <is>
          <t>Peso</t>
        </is>
      </c>
    </row>
    <row r="15">
      <c r="A15" s="3" t="inlineStr">
        <is>
          <t>Bull Put Spread</t>
        </is>
      </c>
      <c r="B15" s="5" t="n">
        <v>24840</v>
      </c>
      <c r="C15" s="6" t="n">
        <v>0.4813953488372096</v>
      </c>
    </row>
    <row r="16">
      <c r="A16" s="3" t="inlineStr">
        <is>
          <t>Bear Call Spread</t>
        </is>
      </c>
      <c r="B16" s="5" t="n">
        <v>11480</v>
      </c>
      <c r="C16" s="6" t="n">
        <v>0.222480620155039</v>
      </c>
    </row>
    <row r="17">
      <c r="A17" s="3" t="inlineStr">
        <is>
          <t>Bull Call Spread</t>
        </is>
      </c>
      <c r="B17" s="5" t="n">
        <v>9780</v>
      </c>
      <c r="C17" s="6" t="n">
        <v>0.1895348837209301</v>
      </c>
    </row>
    <row r="18">
      <c r="A18" s="3" t="inlineStr">
        <is>
          <t>Butterfly Spread (calls)</t>
        </is>
      </c>
      <c r="B18" s="5" t="n">
        <v>5500</v>
      </c>
      <c r="C18" s="6" t="n">
        <v>0.1065891472868214</v>
      </c>
    </row>
    <row r="21">
      <c r="A21" s="11" t="inlineStr">
        <is>
          <t>DISTRIBUCION POR SECTOR</t>
        </is>
      </c>
    </row>
    <row r="22">
      <c r="A22" s="2" t="inlineStr">
        <is>
          <t>Categoria</t>
        </is>
      </c>
      <c r="B22" s="2" t="inlineStr">
        <is>
          <t>Cap. riesgo</t>
        </is>
      </c>
      <c r="C22" s="2" t="inlineStr">
        <is>
          <t>Peso</t>
        </is>
      </c>
    </row>
    <row r="23">
      <c r="A23" s="3" t="inlineStr">
        <is>
          <t>Aerolineas / Consumo ciclico</t>
        </is>
      </c>
      <c r="B23" s="5" t="n">
        <v>14760</v>
      </c>
      <c r="C23" s="6" t="n">
        <v>0.2860465116279072</v>
      </c>
    </row>
    <row r="24">
      <c r="A24" s="3" t="inlineStr">
        <is>
          <t>Tecnologia (Semiconductores)</t>
        </is>
      </c>
      <c r="B24" s="5" t="n">
        <v>11480</v>
      </c>
      <c r="C24" s="6" t="n">
        <v>0.222480620155039</v>
      </c>
    </row>
    <row r="25">
      <c r="A25" s="3" t="inlineStr">
        <is>
          <t>Tecnologia (Software/IA)</t>
        </is>
      </c>
      <c r="B25" s="5" t="n">
        <v>10080</v>
      </c>
      <c r="C25" s="6" t="n">
        <v>0.1953488372093024</v>
      </c>
    </row>
    <row r="26">
      <c r="A26" s="3" t="inlineStr">
        <is>
          <t>Tecnologia (Hardware)</t>
        </is>
      </c>
      <c r="B26" s="5" t="n">
        <v>9780</v>
      </c>
      <c r="C26" s="6" t="n">
        <v>0.1895348837209301</v>
      </c>
    </row>
    <row r="27">
      <c r="A27" s="3" t="inlineStr">
        <is>
          <t>Indice amplio (S&amp;P 500)</t>
        </is>
      </c>
      <c r="B27" s="5" t="n">
        <v>5500</v>
      </c>
      <c r="C27" s="6" t="n">
        <v>0.1065891472868214</v>
      </c>
    </row>
    <row r="30">
      <c r="A30" s="11" t="inlineStr">
        <is>
          <t>DISTRIBUCION POR NIVEL DE RIESGO</t>
        </is>
      </c>
    </row>
    <row r="31">
      <c r="A31" s="2" t="inlineStr">
        <is>
          <t>Categoria</t>
        </is>
      </c>
      <c r="B31" s="2" t="inlineStr">
        <is>
          <t>Cap. riesgo</t>
        </is>
      </c>
      <c r="C31" s="2" t="inlineStr">
        <is>
          <t>Peso</t>
        </is>
      </c>
    </row>
    <row r="32">
      <c r="A32" s="3" t="inlineStr">
        <is>
          <t>Bajo (definido)</t>
        </is>
      </c>
      <c r="B32" s="5" t="n">
        <v>36320</v>
      </c>
      <c r="C32" s="6" t="n">
        <v>0.7038759689922485</v>
      </c>
    </row>
    <row r="33">
      <c r="A33" s="3" t="inlineStr">
        <is>
          <t>Medio (debito definido)</t>
        </is>
      </c>
      <c r="B33" s="5" t="n">
        <v>9780</v>
      </c>
      <c r="C33" s="6" t="n">
        <v>0.1895348837209301</v>
      </c>
    </row>
    <row r="34">
      <c r="A34" s="3" t="inlineStr">
        <is>
          <t>Bajo (debito muy pequeno)</t>
        </is>
      </c>
      <c r="B34" s="5" t="n">
        <v>5500</v>
      </c>
      <c r="C34" s="6" t="n">
        <v>0.1065891472868214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DAL — Bull Put Spread 90/85</t>
        </is>
      </c>
    </row>
    <row r="2">
      <c r="A2" s="12" t="inlineStr">
        <is>
          <t>Bull Put Spread  ·  Sesgo: Alcista / neutral  ·  Confianza: Alta</t>
        </is>
      </c>
    </row>
    <row r="4">
      <c r="A4" s="11" t="inlineStr">
        <is>
          <t>PARAMETROS</t>
        </is>
      </c>
    </row>
    <row r="5">
      <c r="A5" s="13" t="inlineStr">
        <is>
          <t>Subyacente</t>
        </is>
      </c>
      <c r="B5" t="inlineStr">
        <is>
          <t>DAL</t>
        </is>
      </c>
    </row>
    <row r="6">
      <c r="A6" s="13" t="inlineStr">
        <is>
          <t>Spot de entrada (2-jul-2026)</t>
        </is>
      </c>
      <c r="B6" t="n">
        <v>92.75</v>
      </c>
    </row>
    <row r="7">
      <c r="A7" s="13" t="inlineStr">
        <is>
          <t>Contratos</t>
        </is>
      </c>
      <c r="B7" t="n">
        <v>40</v>
      </c>
    </row>
    <row r="8">
      <c r="A8" s="13" t="inlineStr">
        <is>
          <t>Acciones por contrato</t>
        </is>
      </c>
      <c r="B8" t="n">
        <v>100</v>
      </c>
    </row>
    <row r="9">
      <c r="A9" s="13" t="inlineStr">
        <is>
          <t>Total de acciones</t>
        </is>
      </c>
      <c r="B9">
        <f>B7*B8</f>
        <v/>
      </c>
    </row>
    <row r="10">
      <c r="A10" s="13" t="inlineStr">
        <is>
          <t>Vencimiento</t>
        </is>
      </c>
      <c r="B10" t="inlineStr">
        <is>
          <t>2026-07-10</t>
        </is>
      </c>
    </row>
    <row r="11">
      <c r="A11" s="13" t="inlineStr">
        <is>
          <t>r (anual)</t>
        </is>
      </c>
      <c r="B11" t="n">
        <v>0.045</v>
      </c>
    </row>
    <row r="12">
      <c r="A12" s="13" t="inlineStr">
        <is>
          <t>T (anios)</t>
        </is>
      </c>
      <c r="B12" t="n">
        <v>0.0219</v>
      </c>
    </row>
    <row r="14">
      <c r="A14" s="11" t="inlineStr">
        <is>
          <t>PATAS DE LA ESTRATEGIA</t>
        </is>
      </c>
    </row>
    <row r="15">
      <c r="A15" s="2" t="inlineStr">
        <is>
          <t>Pata</t>
        </is>
      </c>
      <c r="B15" s="2" t="inlineStr">
        <is>
          <t>Tipo</t>
        </is>
      </c>
      <c r="C15" s="2" t="inlineStr">
        <is>
          <t>Lado</t>
        </is>
      </c>
      <c r="D15" s="2" t="inlineStr">
        <is>
          <t>Strike (K)</t>
        </is>
      </c>
      <c r="E15" s="2" t="inlineStr">
        <is>
          <t>Prima/accion</t>
        </is>
      </c>
      <c r="F15" s="2" t="inlineStr">
        <is>
          <t>Mult</t>
        </is>
      </c>
    </row>
    <row r="16">
      <c r="A16" s="3" t="inlineStr">
        <is>
          <t>P1</t>
        </is>
      </c>
      <c r="B16" s="3" t="inlineStr">
        <is>
          <t>PUT</t>
        </is>
      </c>
      <c r="C16" s="3" t="inlineStr">
        <is>
          <t>SHORT</t>
        </is>
      </c>
      <c r="D16" s="3" t="n">
        <v>90</v>
      </c>
      <c r="E16" s="3" t="n">
        <v>2.16</v>
      </c>
      <c r="F16" s="3" t="n">
        <v>1</v>
      </c>
    </row>
    <row r="17">
      <c r="A17" s="3" t="inlineStr">
        <is>
          <t>P2</t>
        </is>
      </c>
      <c r="B17" s="3" t="inlineStr">
        <is>
          <t>PUT</t>
        </is>
      </c>
      <c r="C17" s="3" t="inlineStr">
        <is>
          <t>LONG</t>
        </is>
      </c>
      <c r="D17" s="3" t="n">
        <v>85</v>
      </c>
      <c r="E17" s="3" t="n">
        <v>0.85</v>
      </c>
      <c r="F17" s="3" t="n">
        <v>1</v>
      </c>
    </row>
    <row r="19">
      <c r="A19" s="13" t="inlineStr">
        <is>
          <t>Prima neta / accion (cred + / deb -)</t>
        </is>
      </c>
      <c r="E19" s="14">
        <f>E16*F16-E17*F17</f>
        <v/>
      </c>
    </row>
    <row r="20">
      <c r="A20" s="13" t="inlineStr">
        <is>
          <t>Prima neta total (USD)</t>
        </is>
      </c>
      <c r="E20" s="15">
        <f>E19*B7*B8</f>
        <v/>
      </c>
    </row>
    <row r="22">
      <c r="A22" s="11" t="inlineStr">
        <is>
          <t>TABLA DE PAYOFF AL VENCIMIENTO</t>
        </is>
      </c>
    </row>
    <row r="23">
      <c r="A23" s="2" t="inlineStr">
        <is>
          <t>ST (Spot)</t>
        </is>
      </c>
      <c r="B23" s="2" t="inlineStr">
        <is>
          <t>P1 K</t>
        </is>
      </c>
      <c r="C23" s="2" t="inlineStr">
        <is>
          <t>P1 Prima</t>
        </is>
      </c>
      <c r="D23" s="2" t="inlineStr">
        <is>
          <t>P1 Moneyness</t>
        </is>
      </c>
      <c r="E23" s="2" t="inlineStr">
        <is>
          <t>P1 Ejerce</t>
        </is>
      </c>
      <c r="F23" s="2" t="inlineStr">
        <is>
          <t>P1 Payoff/acc</t>
        </is>
      </c>
      <c r="G23" s="2" t="inlineStr">
        <is>
          <t>P1 GoP/acc</t>
        </is>
      </c>
      <c r="H23" s="2" t="inlineStr">
        <is>
          <t>P2 K</t>
        </is>
      </c>
      <c r="I23" s="2" t="inlineStr">
        <is>
          <t>P2 Prima</t>
        </is>
      </c>
      <c r="J23" s="2" t="inlineStr">
        <is>
          <t>P2 Moneyness</t>
        </is>
      </c>
      <c r="K23" s="2" t="inlineStr">
        <is>
          <t>P2 Ejerce</t>
        </is>
      </c>
      <c r="L23" s="2" t="inlineStr">
        <is>
          <t>P2 Payoff/acc</t>
        </is>
      </c>
      <c r="M23" s="2" t="inlineStr">
        <is>
          <t>P2 GoP/acc</t>
        </is>
      </c>
      <c r="N23" s="2" t="inlineStr">
        <is>
          <t>Payoff neto/acc</t>
        </is>
      </c>
      <c r="O23" s="2" t="inlineStr">
        <is>
          <t>GoP neto/acc</t>
        </is>
      </c>
      <c r="P23" s="2" t="inlineStr">
        <is>
          <t>GoP TOTAL (USD)</t>
        </is>
      </c>
    </row>
    <row r="24">
      <c r="A24" s="4" t="n">
        <v>76.31999999999999</v>
      </c>
      <c r="B24" s="4">
        <f>$D$16</f>
        <v/>
      </c>
      <c r="C24" s="4">
        <f>$E$16</f>
        <v/>
      </c>
      <c r="D24" s="3">
        <f>IF($A24&lt;$D$16,"ITM",IF($A24=$D$16,"ATM","OTM"))</f>
        <v/>
      </c>
      <c r="E24" s="3">
        <f>IF($A24&lt;$D$16,"SI","NO")</f>
        <v/>
      </c>
      <c r="F24" s="4">
        <f>-MAX($D$16-$A24,0)*$F$16</f>
        <v/>
      </c>
      <c r="G24" s="4">
        <f>$E$16*$F$16+F24</f>
        <v/>
      </c>
      <c r="H24" s="4">
        <f>$D$17</f>
        <v/>
      </c>
      <c r="I24" s="4">
        <f>$E$17</f>
        <v/>
      </c>
      <c r="J24" s="3">
        <f>IF($A24&lt;$D$17,"ITM",IF($A24=$D$17,"ATM","OTM"))</f>
        <v/>
      </c>
      <c r="K24" s="3">
        <f>IF($A24&lt;$D$17,"SI","NO")</f>
        <v/>
      </c>
      <c r="L24" s="4">
        <f>MAX($D$17-$A24,0)*$F$17</f>
        <v/>
      </c>
      <c r="M24" s="4">
        <f>L24-$E$17*$F$17</f>
        <v/>
      </c>
      <c r="N24" s="4">
        <f>F24+L24</f>
        <v/>
      </c>
      <c r="O24" s="4">
        <f>G24+M24</f>
        <v/>
      </c>
      <c r="P24" s="16">
        <f>O24*B7*B8</f>
        <v/>
      </c>
    </row>
    <row r="25">
      <c r="A25" s="4" t="n">
        <v>77.34</v>
      </c>
      <c r="B25" s="4">
        <f>$D$16</f>
        <v/>
      </c>
      <c r="C25" s="4">
        <f>$E$16</f>
        <v/>
      </c>
      <c r="D25" s="3">
        <f>IF($A25&lt;$D$16,"ITM",IF($A25=$D$16,"ATM","OTM"))</f>
        <v/>
      </c>
      <c r="E25" s="3">
        <f>IF($A25&lt;$D$16,"SI","NO")</f>
        <v/>
      </c>
      <c r="F25" s="4">
        <f>-MAX($D$16-$A25,0)*$F$16</f>
        <v/>
      </c>
      <c r="G25" s="4">
        <f>$E$16*$F$16+F25</f>
        <v/>
      </c>
      <c r="H25" s="4">
        <f>$D$17</f>
        <v/>
      </c>
      <c r="I25" s="4">
        <f>$E$17</f>
        <v/>
      </c>
      <c r="J25" s="3">
        <f>IF($A25&lt;$D$17,"ITM",IF($A25=$D$17,"ATM","OTM"))</f>
        <v/>
      </c>
      <c r="K25" s="3">
        <f>IF($A25&lt;$D$17,"SI","NO")</f>
        <v/>
      </c>
      <c r="L25" s="4">
        <f>MAX($D$17-$A25,0)*$F$17</f>
        <v/>
      </c>
      <c r="M25" s="4">
        <f>L25-$E$17*$F$17</f>
        <v/>
      </c>
      <c r="N25" s="4">
        <f>F25+L25</f>
        <v/>
      </c>
      <c r="O25" s="4">
        <f>G25+M25</f>
        <v/>
      </c>
      <c r="P25" s="16">
        <f>O25*B7*B8</f>
        <v/>
      </c>
    </row>
    <row r="26">
      <c r="A26" s="4" t="n">
        <v>78.34999999999999</v>
      </c>
      <c r="B26" s="4">
        <f>$D$16</f>
        <v/>
      </c>
      <c r="C26" s="4">
        <f>$E$16</f>
        <v/>
      </c>
      <c r="D26" s="3">
        <f>IF($A26&lt;$D$16,"ITM",IF($A26=$D$16,"ATM","OTM"))</f>
        <v/>
      </c>
      <c r="E26" s="3">
        <f>IF($A26&lt;$D$16,"SI","NO")</f>
        <v/>
      </c>
      <c r="F26" s="4">
        <f>-MAX($D$16-$A26,0)*$F$16</f>
        <v/>
      </c>
      <c r="G26" s="4">
        <f>$E$16*$F$16+F26</f>
        <v/>
      </c>
      <c r="H26" s="4">
        <f>$D$17</f>
        <v/>
      </c>
      <c r="I26" s="4">
        <f>$E$17</f>
        <v/>
      </c>
      <c r="J26" s="3">
        <f>IF($A26&lt;$D$17,"ITM",IF($A26=$D$17,"ATM","OTM"))</f>
        <v/>
      </c>
      <c r="K26" s="3">
        <f>IF($A26&lt;$D$17,"SI","NO")</f>
        <v/>
      </c>
      <c r="L26" s="4">
        <f>MAX($D$17-$A26,0)*$F$17</f>
        <v/>
      </c>
      <c r="M26" s="4">
        <f>L26-$E$17*$F$17</f>
        <v/>
      </c>
      <c r="N26" s="4">
        <f>F26+L26</f>
        <v/>
      </c>
      <c r="O26" s="4">
        <f>G26+M26</f>
        <v/>
      </c>
      <c r="P26" s="16">
        <f>O26*B7*B8</f>
        <v/>
      </c>
    </row>
    <row r="27">
      <c r="A27" s="4" t="n">
        <v>79.37</v>
      </c>
      <c r="B27" s="4">
        <f>$D$16</f>
        <v/>
      </c>
      <c r="C27" s="4">
        <f>$E$16</f>
        <v/>
      </c>
      <c r="D27" s="3">
        <f>IF($A27&lt;$D$16,"ITM",IF($A27=$D$16,"ATM","OTM"))</f>
        <v/>
      </c>
      <c r="E27" s="3">
        <f>IF($A27&lt;$D$16,"SI","NO")</f>
        <v/>
      </c>
      <c r="F27" s="4">
        <f>-MAX($D$16-$A27,0)*$F$16</f>
        <v/>
      </c>
      <c r="G27" s="4">
        <f>$E$16*$F$16+F27</f>
        <v/>
      </c>
      <c r="H27" s="4">
        <f>$D$17</f>
        <v/>
      </c>
      <c r="I27" s="4">
        <f>$E$17</f>
        <v/>
      </c>
      <c r="J27" s="3">
        <f>IF($A27&lt;$D$17,"ITM",IF($A27=$D$17,"ATM","OTM"))</f>
        <v/>
      </c>
      <c r="K27" s="3">
        <f>IF($A27&lt;$D$17,"SI","NO")</f>
        <v/>
      </c>
      <c r="L27" s="4">
        <f>MAX($D$17-$A27,0)*$F$17</f>
        <v/>
      </c>
      <c r="M27" s="4">
        <f>L27-$E$17*$F$17</f>
        <v/>
      </c>
      <c r="N27" s="4">
        <f>F27+L27</f>
        <v/>
      </c>
      <c r="O27" s="4">
        <f>G27+M27</f>
        <v/>
      </c>
      <c r="P27" s="16">
        <f>O27*B7*B8</f>
        <v/>
      </c>
    </row>
    <row r="28">
      <c r="A28" s="4" t="n">
        <v>80.39</v>
      </c>
      <c r="B28" s="4">
        <f>$D$16</f>
        <v/>
      </c>
      <c r="C28" s="4">
        <f>$E$16</f>
        <v/>
      </c>
      <c r="D28" s="3">
        <f>IF($A28&lt;$D$16,"ITM",IF($A28=$D$16,"ATM","OTM"))</f>
        <v/>
      </c>
      <c r="E28" s="3">
        <f>IF($A28&lt;$D$16,"SI","NO")</f>
        <v/>
      </c>
      <c r="F28" s="4">
        <f>-MAX($D$16-$A28,0)*$F$16</f>
        <v/>
      </c>
      <c r="G28" s="4">
        <f>$E$16*$F$16+F28</f>
        <v/>
      </c>
      <c r="H28" s="4">
        <f>$D$17</f>
        <v/>
      </c>
      <c r="I28" s="4">
        <f>$E$17</f>
        <v/>
      </c>
      <c r="J28" s="3">
        <f>IF($A28&lt;$D$17,"ITM",IF($A28=$D$17,"ATM","OTM"))</f>
        <v/>
      </c>
      <c r="K28" s="3">
        <f>IF($A28&lt;$D$17,"SI","NO")</f>
        <v/>
      </c>
      <c r="L28" s="4">
        <f>MAX($D$17-$A28,0)*$F$17</f>
        <v/>
      </c>
      <c r="M28" s="4">
        <f>L28-$E$17*$F$17</f>
        <v/>
      </c>
      <c r="N28" s="4">
        <f>F28+L28</f>
        <v/>
      </c>
      <c r="O28" s="4">
        <f>G28+M28</f>
        <v/>
      </c>
      <c r="P28" s="16">
        <f>O28*B7*B8</f>
        <v/>
      </c>
    </row>
    <row r="29">
      <c r="A29" s="4" t="n">
        <v>81.40000000000001</v>
      </c>
      <c r="B29" s="4">
        <f>$D$16</f>
        <v/>
      </c>
      <c r="C29" s="4">
        <f>$E$16</f>
        <v/>
      </c>
      <c r="D29" s="3">
        <f>IF($A29&lt;$D$16,"ITM",IF($A29=$D$16,"ATM","OTM"))</f>
        <v/>
      </c>
      <c r="E29" s="3">
        <f>IF($A29&lt;$D$16,"SI","NO")</f>
        <v/>
      </c>
      <c r="F29" s="4">
        <f>-MAX($D$16-$A29,0)*$F$16</f>
        <v/>
      </c>
      <c r="G29" s="4">
        <f>$E$16*$F$16+F29</f>
        <v/>
      </c>
      <c r="H29" s="4">
        <f>$D$17</f>
        <v/>
      </c>
      <c r="I29" s="4">
        <f>$E$17</f>
        <v/>
      </c>
      <c r="J29" s="3">
        <f>IF($A29&lt;$D$17,"ITM",IF($A29=$D$17,"ATM","OTM"))</f>
        <v/>
      </c>
      <c r="K29" s="3">
        <f>IF($A29&lt;$D$17,"SI","NO")</f>
        <v/>
      </c>
      <c r="L29" s="4">
        <f>MAX($D$17-$A29,0)*$F$17</f>
        <v/>
      </c>
      <c r="M29" s="4">
        <f>L29-$E$17*$F$17</f>
        <v/>
      </c>
      <c r="N29" s="4">
        <f>F29+L29</f>
        <v/>
      </c>
      <c r="O29" s="4">
        <f>G29+M29</f>
        <v/>
      </c>
      <c r="P29" s="16">
        <f>O29*B7*B8</f>
        <v/>
      </c>
    </row>
    <row r="30">
      <c r="A30" s="4" t="n">
        <v>82.42</v>
      </c>
      <c r="B30" s="4">
        <f>$D$16</f>
        <v/>
      </c>
      <c r="C30" s="4">
        <f>$E$16</f>
        <v/>
      </c>
      <c r="D30" s="3">
        <f>IF($A30&lt;$D$16,"ITM",IF($A30=$D$16,"ATM","OTM"))</f>
        <v/>
      </c>
      <c r="E30" s="3">
        <f>IF($A30&lt;$D$16,"SI","NO")</f>
        <v/>
      </c>
      <c r="F30" s="4">
        <f>-MAX($D$16-$A30,0)*$F$16</f>
        <v/>
      </c>
      <c r="G30" s="4">
        <f>$E$16*$F$16+F30</f>
        <v/>
      </c>
      <c r="H30" s="4">
        <f>$D$17</f>
        <v/>
      </c>
      <c r="I30" s="4">
        <f>$E$17</f>
        <v/>
      </c>
      <c r="J30" s="3">
        <f>IF($A30&lt;$D$17,"ITM",IF($A30=$D$17,"ATM","OTM"))</f>
        <v/>
      </c>
      <c r="K30" s="3">
        <f>IF($A30&lt;$D$17,"SI","NO")</f>
        <v/>
      </c>
      <c r="L30" s="4">
        <f>MAX($D$17-$A30,0)*$F$17</f>
        <v/>
      </c>
      <c r="M30" s="4">
        <f>L30-$E$17*$F$17</f>
        <v/>
      </c>
      <c r="N30" s="4">
        <f>F30+L30</f>
        <v/>
      </c>
      <c r="O30" s="4">
        <f>G30+M30</f>
        <v/>
      </c>
      <c r="P30" s="16">
        <f>O30*B7*B8</f>
        <v/>
      </c>
    </row>
    <row r="31">
      <c r="A31" s="4" t="n">
        <v>83.44</v>
      </c>
      <c r="B31" s="4">
        <f>$D$16</f>
        <v/>
      </c>
      <c r="C31" s="4">
        <f>$E$16</f>
        <v/>
      </c>
      <c r="D31" s="3">
        <f>IF($A31&lt;$D$16,"ITM",IF($A31=$D$16,"ATM","OTM"))</f>
        <v/>
      </c>
      <c r="E31" s="3">
        <f>IF($A31&lt;$D$16,"SI","NO")</f>
        <v/>
      </c>
      <c r="F31" s="4">
        <f>-MAX($D$16-$A31,0)*$F$16</f>
        <v/>
      </c>
      <c r="G31" s="4">
        <f>$E$16*$F$16+F31</f>
        <v/>
      </c>
      <c r="H31" s="4">
        <f>$D$17</f>
        <v/>
      </c>
      <c r="I31" s="4">
        <f>$E$17</f>
        <v/>
      </c>
      <c r="J31" s="3">
        <f>IF($A31&lt;$D$17,"ITM",IF($A31=$D$17,"ATM","OTM"))</f>
        <v/>
      </c>
      <c r="K31" s="3">
        <f>IF($A31&lt;$D$17,"SI","NO")</f>
        <v/>
      </c>
      <c r="L31" s="4">
        <f>MAX($D$17-$A31,0)*$F$17</f>
        <v/>
      </c>
      <c r="M31" s="4">
        <f>L31-$E$17*$F$17</f>
        <v/>
      </c>
      <c r="N31" s="4">
        <f>F31+L31</f>
        <v/>
      </c>
      <c r="O31" s="4">
        <f>G31+M31</f>
        <v/>
      </c>
      <c r="P31" s="16">
        <f>O31*B7*B8</f>
        <v/>
      </c>
    </row>
    <row r="32">
      <c r="A32" s="4" t="n">
        <v>84.45</v>
      </c>
      <c r="B32" s="4">
        <f>$D$16</f>
        <v/>
      </c>
      <c r="C32" s="4">
        <f>$E$16</f>
        <v/>
      </c>
      <c r="D32" s="3">
        <f>IF($A32&lt;$D$16,"ITM",IF($A32=$D$16,"ATM","OTM"))</f>
        <v/>
      </c>
      <c r="E32" s="3">
        <f>IF($A32&lt;$D$16,"SI","NO")</f>
        <v/>
      </c>
      <c r="F32" s="4">
        <f>-MAX($D$16-$A32,0)*$F$16</f>
        <v/>
      </c>
      <c r="G32" s="4">
        <f>$E$16*$F$16+F32</f>
        <v/>
      </c>
      <c r="H32" s="4">
        <f>$D$17</f>
        <v/>
      </c>
      <c r="I32" s="4">
        <f>$E$17</f>
        <v/>
      </c>
      <c r="J32" s="3">
        <f>IF($A32&lt;$D$17,"ITM",IF($A32=$D$17,"ATM","OTM"))</f>
        <v/>
      </c>
      <c r="K32" s="3">
        <f>IF($A32&lt;$D$17,"SI","NO")</f>
        <v/>
      </c>
      <c r="L32" s="4">
        <f>MAX($D$17-$A32,0)*$F$17</f>
        <v/>
      </c>
      <c r="M32" s="4">
        <f>L32-$E$17*$F$17</f>
        <v/>
      </c>
      <c r="N32" s="4">
        <f>F32+L32</f>
        <v/>
      </c>
      <c r="O32" s="4">
        <f>G32+M32</f>
        <v/>
      </c>
      <c r="P32" s="16">
        <f>O32*B7*B8</f>
        <v/>
      </c>
    </row>
    <row r="33">
      <c r="A33" s="4" t="n">
        <v>85</v>
      </c>
      <c r="B33" s="4">
        <f>$D$16</f>
        <v/>
      </c>
      <c r="C33" s="4">
        <f>$E$16</f>
        <v/>
      </c>
      <c r="D33" s="3">
        <f>IF($A33&lt;$D$16,"ITM",IF($A33=$D$16,"ATM","OTM"))</f>
        <v/>
      </c>
      <c r="E33" s="3">
        <f>IF($A33&lt;$D$16,"SI","NO")</f>
        <v/>
      </c>
      <c r="F33" s="4">
        <f>-MAX($D$16-$A33,0)*$F$16</f>
        <v/>
      </c>
      <c r="G33" s="4">
        <f>$E$16*$F$16+F33</f>
        <v/>
      </c>
      <c r="H33" s="4">
        <f>$D$17</f>
        <v/>
      </c>
      <c r="I33" s="4">
        <f>$E$17</f>
        <v/>
      </c>
      <c r="J33" s="3">
        <f>IF($A33&lt;$D$17,"ITM",IF($A33=$D$17,"ATM","OTM"))</f>
        <v/>
      </c>
      <c r="K33" s="3">
        <f>IF($A33&lt;$D$17,"SI","NO")</f>
        <v/>
      </c>
      <c r="L33" s="4">
        <f>MAX($D$17-$A33,0)*$F$17</f>
        <v/>
      </c>
      <c r="M33" s="4">
        <f>L33-$E$17*$F$17</f>
        <v/>
      </c>
      <c r="N33" s="4">
        <f>F33+L33</f>
        <v/>
      </c>
      <c r="O33" s="4">
        <f>G33+M33</f>
        <v/>
      </c>
      <c r="P33" s="16">
        <f>O33*B7*B8</f>
        <v/>
      </c>
    </row>
    <row r="34">
      <c r="A34" s="4" t="n">
        <v>85.47</v>
      </c>
      <c r="B34" s="4">
        <f>$D$16</f>
        <v/>
      </c>
      <c r="C34" s="4">
        <f>$E$16</f>
        <v/>
      </c>
      <c r="D34" s="3">
        <f>IF($A34&lt;$D$16,"ITM",IF($A34=$D$16,"ATM","OTM"))</f>
        <v/>
      </c>
      <c r="E34" s="3">
        <f>IF($A34&lt;$D$16,"SI","NO")</f>
        <v/>
      </c>
      <c r="F34" s="4">
        <f>-MAX($D$16-$A34,0)*$F$16</f>
        <v/>
      </c>
      <c r="G34" s="4">
        <f>$E$16*$F$16+F34</f>
        <v/>
      </c>
      <c r="H34" s="4">
        <f>$D$17</f>
        <v/>
      </c>
      <c r="I34" s="4">
        <f>$E$17</f>
        <v/>
      </c>
      <c r="J34" s="3">
        <f>IF($A34&lt;$D$17,"ITM",IF($A34=$D$17,"ATM","OTM"))</f>
        <v/>
      </c>
      <c r="K34" s="3">
        <f>IF($A34&lt;$D$17,"SI","NO")</f>
        <v/>
      </c>
      <c r="L34" s="4">
        <f>MAX($D$17-$A34,0)*$F$17</f>
        <v/>
      </c>
      <c r="M34" s="4">
        <f>L34-$E$17*$F$17</f>
        <v/>
      </c>
      <c r="N34" s="4">
        <f>F34+L34</f>
        <v/>
      </c>
      <c r="O34" s="4">
        <f>G34+M34</f>
        <v/>
      </c>
      <c r="P34" s="16">
        <f>O34*B7*B8</f>
        <v/>
      </c>
    </row>
    <row r="35">
      <c r="A35" s="4" t="n">
        <v>86.48</v>
      </c>
      <c r="B35" s="4">
        <f>$D$16</f>
        <v/>
      </c>
      <c r="C35" s="4">
        <f>$E$16</f>
        <v/>
      </c>
      <c r="D35" s="3">
        <f>IF($A35&lt;$D$16,"ITM",IF($A35=$D$16,"ATM","OTM"))</f>
        <v/>
      </c>
      <c r="E35" s="3">
        <f>IF($A35&lt;$D$16,"SI","NO")</f>
        <v/>
      </c>
      <c r="F35" s="4">
        <f>-MAX($D$16-$A35,0)*$F$16</f>
        <v/>
      </c>
      <c r="G35" s="4">
        <f>$E$16*$F$16+F35</f>
        <v/>
      </c>
      <c r="H35" s="4">
        <f>$D$17</f>
        <v/>
      </c>
      <c r="I35" s="4">
        <f>$E$17</f>
        <v/>
      </c>
      <c r="J35" s="3">
        <f>IF($A35&lt;$D$17,"ITM",IF($A35=$D$17,"ATM","OTM"))</f>
        <v/>
      </c>
      <c r="K35" s="3">
        <f>IF($A35&lt;$D$17,"SI","NO")</f>
        <v/>
      </c>
      <c r="L35" s="4">
        <f>MAX($D$17-$A35,0)*$F$17</f>
        <v/>
      </c>
      <c r="M35" s="4">
        <f>L35-$E$17*$F$17</f>
        <v/>
      </c>
      <c r="N35" s="4">
        <f>F35+L35</f>
        <v/>
      </c>
      <c r="O35" s="4">
        <f>G35+M35</f>
        <v/>
      </c>
      <c r="P35" s="16">
        <f>O35*B7*B8</f>
        <v/>
      </c>
    </row>
    <row r="36">
      <c r="A36" s="4" t="n">
        <v>87.5</v>
      </c>
      <c r="B36" s="4">
        <f>$D$16</f>
        <v/>
      </c>
      <c r="C36" s="4">
        <f>$E$16</f>
        <v/>
      </c>
      <c r="D36" s="3">
        <f>IF($A36&lt;$D$16,"ITM",IF($A36=$D$16,"ATM","OTM"))</f>
        <v/>
      </c>
      <c r="E36" s="3">
        <f>IF($A36&lt;$D$16,"SI","NO")</f>
        <v/>
      </c>
      <c r="F36" s="4">
        <f>-MAX($D$16-$A36,0)*$F$16</f>
        <v/>
      </c>
      <c r="G36" s="4">
        <f>$E$16*$F$16+F36</f>
        <v/>
      </c>
      <c r="H36" s="4">
        <f>$D$17</f>
        <v/>
      </c>
      <c r="I36" s="4">
        <f>$E$17</f>
        <v/>
      </c>
      <c r="J36" s="3">
        <f>IF($A36&lt;$D$17,"ITM",IF($A36=$D$17,"ATM","OTM"))</f>
        <v/>
      </c>
      <c r="K36" s="3">
        <f>IF($A36&lt;$D$17,"SI","NO")</f>
        <v/>
      </c>
      <c r="L36" s="4">
        <f>MAX($D$17-$A36,0)*$F$17</f>
        <v/>
      </c>
      <c r="M36" s="4">
        <f>L36-$E$17*$F$17</f>
        <v/>
      </c>
      <c r="N36" s="4">
        <f>F36+L36</f>
        <v/>
      </c>
      <c r="O36" s="4">
        <f>G36+M36</f>
        <v/>
      </c>
      <c r="P36" s="16">
        <f>O36*B7*B8</f>
        <v/>
      </c>
    </row>
    <row r="37">
      <c r="A37" s="4" t="n">
        <v>88.52</v>
      </c>
      <c r="B37" s="4">
        <f>$D$16</f>
        <v/>
      </c>
      <c r="C37" s="4">
        <f>$E$16</f>
        <v/>
      </c>
      <c r="D37" s="3">
        <f>IF($A37&lt;$D$16,"ITM",IF($A37=$D$16,"ATM","OTM"))</f>
        <v/>
      </c>
      <c r="E37" s="3">
        <f>IF($A37&lt;$D$16,"SI","NO")</f>
        <v/>
      </c>
      <c r="F37" s="4">
        <f>-MAX($D$16-$A37,0)*$F$16</f>
        <v/>
      </c>
      <c r="G37" s="4">
        <f>$E$16*$F$16+F37</f>
        <v/>
      </c>
      <c r="H37" s="4">
        <f>$D$17</f>
        <v/>
      </c>
      <c r="I37" s="4">
        <f>$E$17</f>
        <v/>
      </c>
      <c r="J37" s="3">
        <f>IF($A37&lt;$D$17,"ITM",IF($A37=$D$17,"ATM","OTM"))</f>
        <v/>
      </c>
      <c r="K37" s="3">
        <f>IF($A37&lt;$D$17,"SI","NO")</f>
        <v/>
      </c>
      <c r="L37" s="4">
        <f>MAX($D$17-$A37,0)*$F$17</f>
        <v/>
      </c>
      <c r="M37" s="4">
        <f>L37-$E$17*$F$17</f>
        <v/>
      </c>
      <c r="N37" s="4">
        <f>F37+L37</f>
        <v/>
      </c>
      <c r="O37" s="4">
        <f>G37+M37</f>
        <v/>
      </c>
      <c r="P37" s="16">
        <f>O37*B7*B8</f>
        <v/>
      </c>
    </row>
    <row r="38">
      <c r="A38" s="4" t="n">
        <v>89.53</v>
      </c>
      <c r="B38" s="4">
        <f>$D$16</f>
        <v/>
      </c>
      <c r="C38" s="4">
        <f>$E$16</f>
        <v/>
      </c>
      <c r="D38" s="3">
        <f>IF($A38&lt;$D$16,"ITM",IF($A38=$D$16,"ATM","OTM"))</f>
        <v/>
      </c>
      <c r="E38" s="3">
        <f>IF($A38&lt;$D$16,"SI","NO")</f>
        <v/>
      </c>
      <c r="F38" s="4">
        <f>-MAX($D$16-$A38,0)*$F$16</f>
        <v/>
      </c>
      <c r="G38" s="4">
        <f>$E$16*$F$16+F38</f>
        <v/>
      </c>
      <c r="H38" s="4">
        <f>$D$17</f>
        <v/>
      </c>
      <c r="I38" s="4">
        <f>$E$17</f>
        <v/>
      </c>
      <c r="J38" s="3">
        <f>IF($A38&lt;$D$17,"ITM",IF($A38=$D$17,"ATM","OTM"))</f>
        <v/>
      </c>
      <c r="K38" s="3">
        <f>IF($A38&lt;$D$17,"SI","NO")</f>
        <v/>
      </c>
      <c r="L38" s="4">
        <f>MAX($D$17-$A38,0)*$F$17</f>
        <v/>
      </c>
      <c r="M38" s="4">
        <f>L38-$E$17*$F$17</f>
        <v/>
      </c>
      <c r="N38" s="4">
        <f>F38+L38</f>
        <v/>
      </c>
      <c r="O38" s="4">
        <f>G38+M38</f>
        <v/>
      </c>
      <c r="P38" s="17">
        <f>O38*B7*B8</f>
        <v/>
      </c>
    </row>
    <row r="39">
      <c r="A39" s="4" t="n">
        <v>90</v>
      </c>
      <c r="B39" s="4">
        <f>$D$16</f>
        <v/>
      </c>
      <c r="C39" s="4">
        <f>$E$16</f>
        <v/>
      </c>
      <c r="D39" s="3">
        <f>IF($A39&lt;$D$16,"ITM",IF($A39=$D$16,"ATM","OTM"))</f>
        <v/>
      </c>
      <c r="E39" s="3">
        <f>IF($A39&lt;$D$16,"SI","NO")</f>
        <v/>
      </c>
      <c r="F39" s="4">
        <f>-MAX($D$16-$A39,0)*$F$16</f>
        <v/>
      </c>
      <c r="G39" s="4">
        <f>$E$16*$F$16+F39</f>
        <v/>
      </c>
      <c r="H39" s="4">
        <f>$D$17</f>
        <v/>
      </c>
      <c r="I39" s="4">
        <f>$E$17</f>
        <v/>
      </c>
      <c r="J39" s="3">
        <f>IF($A39&lt;$D$17,"ITM",IF($A39=$D$17,"ATM","OTM"))</f>
        <v/>
      </c>
      <c r="K39" s="3">
        <f>IF($A39&lt;$D$17,"SI","NO")</f>
        <v/>
      </c>
      <c r="L39" s="4">
        <f>MAX($D$17-$A39,0)*$F$17</f>
        <v/>
      </c>
      <c r="M39" s="4">
        <f>L39-$E$17*$F$17</f>
        <v/>
      </c>
      <c r="N39" s="4">
        <f>F39+L39</f>
        <v/>
      </c>
      <c r="O39" s="4">
        <f>G39+M39</f>
        <v/>
      </c>
      <c r="P39" s="17">
        <f>O39*B7*B8</f>
        <v/>
      </c>
    </row>
    <row r="40">
      <c r="A40" s="4" t="n">
        <v>90.55</v>
      </c>
      <c r="B40" s="4">
        <f>$D$16</f>
        <v/>
      </c>
      <c r="C40" s="4">
        <f>$E$16</f>
        <v/>
      </c>
      <c r="D40" s="3">
        <f>IF($A40&lt;$D$16,"ITM",IF($A40=$D$16,"ATM","OTM"))</f>
        <v/>
      </c>
      <c r="E40" s="3">
        <f>IF($A40&lt;$D$16,"SI","NO")</f>
        <v/>
      </c>
      <c r="F40" s="4">
        <f>-MAX($D$16-$A40,0)*$F$16</f>
        <v/>
      </c>
      <c r="G40" s="4">
        <f>$E$16*$F$16+F40</f>
        <v/>
      </c>
      <c r="H40" s="4">
        <f>$D$17</f>
        <v/>
      </c>
      <c r="I40" s="4">
        <f>$E$17</f>
        <v/>
      </c>
      <c r="J40" s="3">
        <f>IF($A40&lt;$D$17,"ITM",IF($A40=$D$17,"ATM","OTM"))</f>
        <v/>
      </c>
      <c r="K40" s="3">
        <f>IF($A40&lt;$D$17,"SI","NO")</f>
        <v/>
      </c>
      <c r="L40" s="4">
        <f>MAX($D$17-$A40,0)*$F$17</f>
        <v/>
      </c>
      <c r="M40" s="4">
        <f>L40-$E$17*$F$17</f>
        <v/>
      </c>
      <c r="N40" s="4">
        <f>F40+L40</f>
        <v/>
      </c>
      <c r="O40" s="4">
        <f>G40+M40</f>
        <v/>
      </c>
      <c r="P40" s="17">
        <f>O40*B7*B8</f>
        <v/>
      </c>
    </row>
    <row r="41">
      <c r="A41" s="4" t="n">
        <v>91.56</v>
      </c>
      <c r="B41" s="4">
        <f>$D$16</f>
        <v/>
      </c>
      <c r="C41" s="4">
        <f>$E$16</f>
        <v/>
      </c>
      <c r="D41" s="3">
        <f>IF($A41&lt;$D$16,"ITM",IF($A41=$D$16,"ATM","OTM"))</f>
        <v/>
      </c>
      <c r="E41" s="3">
        <f>IF($A41&lt;$D$16,"SI","NO")</f>
        <v/>
      </c>
      <c r="F41" s="4">
        <f>-MAX($D$16-$A41,0)*$F$16</f>
        <v/>
      </c>
      <c r="G41" s="4">
        <f>$E$16*$F$16+F41</f>
        <v/>
      </c>
      <c r="H41" s="4">
        <f>$D$17</f>
        <v/>
      </c>
      <c r="I41" s="4">
        <f>$E$17</f>
        <v/>
      </c>
      <c r="J41" s="3">
        <f>IF($A41&lt;$D$17,"ITM",IF($A41=$D$17,"ATM","OTM"))</f>
        <v/>
      </c>
      <c r="K41" s="3">
        <f>IF($A41&lt;$D$17,"SI","NO")</f>
        <v/>
      </c>
      <c r="L41" s="4">
        <f>MAX($D$17-$A41,0)*$F$17</f>
        <v/>
      </c>
      <c r="M41" s="4">
        <f>L41-$E$17*$F$17</f>
        <v/>
      </c>
      <c r="N41" s="4">
        <f>F41+L41</f>
        <v/>
      </c>
      <c r="O41" s="4">
        <f>G41+M41</f>
        <v/>
      </c>
      <c r="P41" s="17">
        <f>O41*B7*B8</f>
        <v/>
      </c>
    </row>
    <row r="42">
      <c r="A42" s="4" t="n">
        <v>92.58</v>
      </c>
      <c r="B42" s="4">
        <f>$D$16</f>
        <v/>
      </c>
      <c r="C42" s="4">
        <f>$E$16</f>
        <v/>
      </c>
      <c r="D42" s="3">
        <f>IF($A42&lt;$D$16,"ITM",IF($A42=$D$16,"ATM","OTM"))</f>
        <v/>
      </c>
      <c r="E42" s="3">
        <f>IF($A42&lt;$D$16,"SI","NO")</f>
        <v/>
      </c>
      <c r="F42" s="4">
        <f>-MAX($D$16-$A42,0)*$F$16</f>
        <v/>
      </c>
      <c r="G42" s="4">
        <f>$E$16*$F$16+F42</f>
        <v/>
      </c>
      <c r="H42" s="4">
        <f>$D$17</f>
        <v/>
      </c>
      <c r="I42" s="4">
        <f>$E$17</f>
        <v/>
      </c>
      <c r="J42" s="3">
        <f>IF($A42&lt;$D$17,"ITM",IF($A42=$D$17,"ATM","OTM"))</f>
        <v/>
      </c>
      <c r="K42" s="3">
        <f>IF($A42&lt;$D$17,"SI","NO")</f>
        <v/>
      </c>
      <c r="L42" s="4">
        <f>MAX($D$17-$A42,0)*$F$17</f>
        <v/>
      </c>
      <c r="M42" s="4">
        <f>L42-$E$17*$F$17</f>
        <v/>
      </c>
      <c r="N42" s="4">
        <f>F42+L42</f>
        <v/>
      </c>
      <c r="O42" s="4">
        <f>G42+M42</f>
        <v/>
      </c>
      <c r="P42" s="17">
        <f>O42*B7*B8</f>
        <v/>
      </c>
    </row>
    <row r="43">
      <c r="A43" s="4" t="n">
        <v>92.75</v>
      </c>
      <c r="B43" s="4">
        <f>$D$16</f>
        <v/>
      </c>
      <c r="C43" s="4">
        <f>$E$16</f>
        <v/>
      </c>
      <c r="D43" s="3">
        <f>IF($A43&lt;$D$16,"ITM",IF($A43=$D$16,"ATM","OTM"))</f>
        <v/>
      </c>
      <c r="E43" s="3">
        <f>IF($A43&lt;$D$16,"SI","NO")</f>
        <v/>
      </c>
      <c r="F43" s="4">
        <f>-MAX($D$16-$A43,0)*$F$16</f>
        <v/>
      </c>
      <c r="G43" s="4">
        <f>$E$16*$F$16+F43</f>
        <v/>
      </c>
      <c r="H43" s="4">
        <f>$D$17</f>
        <v/>
      </c>
      <c r="I43" s="4">
        <f>$E$17</f>
        <v/>
      </c>
      <c r="J43" s="3">
        <f>IF($A43&lt;$D$17,"ITM",IF($A43=$D$17,"ATM","OTM"))</f>
        <v/>
      </c>
      <c r="K43" s="3">
        <f>IF($A43&lt;$D$17,"SI","NO")</f>
        <v/>
      </c>
      <c r="L43" s="4">
        <f>MAX($D$17-$A43,0)*$F$17</f>
        <v/>
      </c>
      <c r="M43" s="4">
        <f>L43-$E$17*$F$17</f>
        <v/>
      </c>
      <c r="N43" s="4">
        <f>F43+L43</f>
        <v/>
      </c>
      <c r="O43" s="4">
        <f>G43+M43</f>
        <v/>
      </c>
      <c r="P43" s="17">
        <f>O43*B7*B8</f>
        <v/>
      </c>
    </row>
    <row r="44">
      <c r="A44" s="4" t="n">
        <v>93.59999999999999</v>
      </c>
      <c r="B44" s="4">
        <f>$D$16</f>
        <v/>
      </c>
      <c r="C44" s="4">
        <f>$E$16</f>
        <v/>
      </c>
      <c r="D44" s="3">
        <f>IF($A44&lt;$D$16,"ITM",IF($A44=$D$16,"ATM","OTM"))</f>
        <v/>
      </c>
      <c r="E44" s="3">
        <f>IF($A44&lt;$D$16,"SI","NO")</f>
        <v/>
      </c>
      <c r="F44" s="4">
        <f>-MAX($D$16-$A44,0)*$F$16</f>
        <v/>
      </c>
      <c r="G44" s="4">
        <f>$E$16*$F$16+F44</f>
        <v/>
      </c>
      <c r="H44" s="4">
        <f>$D$17</f>
        <v/>
      </c>
      <c r="I44" s="4">
        <f>$E$17</f>
        <v/>
      </c>
      <c r="J44" s="3">
        <f>IF($A44&lt;$D$17,"ITM",IF($A44=$D$17,"ATM","OTM"))</f>
        <v/>
      </c>
      <c r="K44" s="3">
        <f>IF($A44&lt;$D$17,"SI","NO")</f>
        <v/>
      </c>
      <c r="L44" s="4">
        <f>MAX($D$17-$A44,0)*$F$17</f>
        <v/>
      </c>
      <c r="M44" s="4">
        <f>L44-$E$17*$F$17</f>
        <v/>
      </c>
      <c r="N44" s="4">
        <f>F44+L44</f>
        <v/>
      </c>
      <c r="O44" s="4">
        <f>G44+M44</f>
        <v/>
      </c>
      <c r="P44" s="17">
        <f>O44*B7*B8</f>
        <v/>
      </c>
    </row>
    <row r="45">
      <c r="A45" s="4" t="n">
        <v>94.61</v>
      </c>
      <c r="B45" s="4">
        <f>$D$16</f>
        <v/>
      </c>
      <c r="C45" s="4">
        <f>$E$16</f>
        <v/>
      </c>
      <c r="D45" s="3">
        <f>IF($A45&lt;$D$16,"ITM",IF($A45=$D$16,"ATM","OTM"))</f>
        <v/>
      </c>
      <c r="E45" s="3">
        <f>IF($A45&lt;$D$16,"SI","NO")</f>
        <v/>
      </c>
      <c r="F45" s="4">
        <f>-MAX($D$16-$A45,0)*$F$16</f>
        <v/>
      </c>
      <c r="G45" s="4">
        <f>$E$16*$F$16+F45</f>
        <v/>
      </c>
      <c r="H45" s="4">
        <f>$D$17</f>
        <v/>
      </c>
      <c r="I45" s="4">
        <f>$E$17</f>
        <v/>
      </c>
      <c r="J45" s="3">
        <f>IF($A45&lt;$D$17,"ITM",IF($A45=$D$17,"ATM","OTM"))</f>
        <v/>
      </c>
      <c r="K45" s="3">
        <f>IF($A45&lt;$D$17,"SI","NO")</f>
        <v/>
      </c>
      <c r="L45" s="4">
        <f>MAX($D$17-$A45,0)*$F$17</f>
        <v/>
      </c>
      <c r="M45" s="4">
        <f>L45-$E$17*$F$17</f>
        <v/>
      </c>
      <c r="N45" s="4">
        <f>F45+L45</f>
        <v/>
      </c>
      <c r="O45" s="4">
        <f>G45+M45</f>
        <v/>
      </c>
      <c r="P45" s="17">
        <f>O45*B7*B8</f>
        <v/>
      </c>
    </row>
    <row r="46">
      <c r="A46" s="4" t="n">
        <v>95.63</v>
      </c>
      <c r="B46" s="4">
        <f>$D$16</f>
        <v/>
      </c>
      <c r="C46" s="4">
        <f>$E$16</f>
        <v/>
      </c>
      <c r="D46" s="3">
        <f>IF($A46&lt;$D$16,"ITM",IF($A46=$D$16,"ATM","OTM"))</f>
        <v/>
      </c>
      <c r="E46" s="3">
        <f>IF($A46&lt;$D$16,"SI","NO")</f>
        <v/>
      </c>
      <c r="F46" s="4">
        <f>-MAX($D$16-$A46,0)*$F$16</f>
        <v/>
      </c>
      <c r="G46" s="4">
        <f>$E$16*$F$16+F46</f>
        <v/>
      </c>
      <c r="H46" s="4">
        <f>$D$17</f>
        <v/>
      </c>
      <c r="I46" s="4">
        <f>$E$17</f>
        <v/>
      </c>
      <c r="J46" s="3">
        <f>IF($A46&lt;$D$17,"ITM",IF($A46=$D$17,"ATM","OTM"))</f>
        <v/>
      </c>
      <c r="K46" s="3">
        <f>IF($A46&lt;$D$17,"SI","NO")</f>
        <v/>
      </c>
      <c r="L46" s="4">
        <f>MAX($D$17-$A46,0)*$F$17</f>
        <v/>
      </c>
      <c r="M46" s="4">
        <f>L46-$E$17*$F$17</f>
        <v/>
      </c>
      <c r="N46" s="4">
        <f>F46+L46</f>
        <v/>
      </c>
      <c r="O46" s="4">
        <f>G46+M46</f>
        <v/>
      </c>
      <c r="P46" s="17">
        <f>O46*B7*B8</f>
        <v/>
      </c>
    </row>
    <row r="47">
      <c r="A47" s="4" t="n">
        <v>96.65000000000001</v>
      </c>
      <c r="B47" s="4">
        <f>$D$16</f>
        <v/>
      </c>
      <c r="C47" s="4">
        <f>$E$16</f>
        <v/>
      </c>
      <c r="D47" s="3">
        <f>IF($A47&lt;$D$16,"ITM",IF($A47=$D$16,"ATM","OTM"))</f>
        <v/>
      </c>
      <c r="E47" s="3">
        <f>IF($A47&lt;$D$16,"SI","NO")</f>
        <v/>
      </c>
      <c r="F47" s="4">
        <f>-MAX($D$16-$A47,0)*$F$16</f>
        <v/>
      </c>
      <c r="G47" s="4">
        <f>$E$16*$F$16+F47</f>
        <v/>
      </c>
      <c r="H47" s="4">
        <f>$D$17</f>
        <v/>
      </c>
      <c r="I47" s="4">
        <f>$E$17</f>
        <v/>
      </c>
      <c r="J47" s="3">
        <f>IF($A47&lt;$D$17,"ITM",IF($A47=$D$17,"ATM","OTM"))</f>
        <v/>
      </c>
      <c r="K47" s="3">
        <f>IF($A47&lt;$D$17,"SI","NO")</f>
        <v/>
      </c>
      <c r="L47" s="4">
        <f>MAX($D$17-$A47,0)*$F$17</f>
        <v/>
      </c>
      <c r="M47" s="4">
        <f>L47-$E$17*$F$17</f>
        <v/>
      </c>
      <c r="N47" s="4">
        <f>F47+L47</f>
        <v/>
      </c>
      <c r="O47" s="4">
        <f>G47+M47</f>
        <v/>
      </c>
      <c r="P47" s="17">
        <f>O47*B7*B8</f>
        <v/>
      </c>
    </row>
    <row r="48">
      <c r="A48" s="4" t="n">
        <v>97.66</v>
      </c>
      <c r="B48" s="4">
        <f>$D$16</f>
        <v/>
      </c>
      <c r="C48" s="4">
        <f>$E$16</f>
        <v/>
      </c>
      <c r="D48" s="3">
        <f>IF($A48&lt;$D$16,"ITM",IF($A48=$D$16,"ATM","OTM"))</f>
        <v/>
      </c>
      <c r="E48" s="3">
        <f>IF($A48&lt;$D$16,"SI","NO")</f>
        <v/>
      </c>
      <c r="F48" s="4">
        <f>-MAX($D$16-$A48,0)*$F$16</f>
        <v/>
      </c>
      <c r="G48" s="4">
        <f>$E$16*$F$16+F48</f>
        <v/>
      </c>
      <c r="H48" s="4">
        <f>$D$17</f>
        <v/>
      </c>
      <c r="I48" s="4">
        <f>$E$17</f>
        <v/>
      </c>
      <c r="J48" s="3">
        <f>IF($A48&lt;$D$17,"ITM",IF($A48=$D$17,"ATM","OTM"))</f>
        <v/>
      </c>
      <c r="K48" s="3">
        <f>IF($A48&lt;$D$17,"SI","NO")</f>
        <v/>
      </c>
      <c r="L48" s="4">
        <f>MAX($D$17-$A48,0)*$F$17</f>
        <v/>
      </c>
      <c r="M48" s="4">
        <f>L48-$E$17*$F$17</f>
        <v/>
      </c>
      <c r="N48" s="4">
        <f>F48+L48</f>
        <v/>
      </c>
      <c r="O48" s="4">
        <f>G48+M48</f>
        <v/>
      </c>
      <c r="P48" s="17">
        <f>O48*B7*B8</f>
        <v/>
      </c>
    </row>
    <row r="49">
      <c r="A49" s="4" t="n">
        <v>98.68000000000001</v>
      </c>
      <c r="B49" s="4">
        <f>$D$16</f>
        <v/>
      </c>
      <c r="C49" s="4">
        <f>$E$16</f>
        <v/>
      </c>
      <c r="D49" s="3">
        <f>IF($A49&lt;$D$16,"ITM",IF($A49=$D$16,"ATM","OTM"))</f>
        <v/>
      </c>
      <c r="E49" s="3">
        <f>IF($A49&lt;$D$16,"SI","NO")</f>
        <v/>
      </c>
      <c r="F49" s="4">
        <f>-MAX($D$16-$A49,0)*$F$16</f>
        <v/>
      </c>
      <c r="G49" s="4">
        <f>$E$16*$F$16+F49</f>
        <v/>
      </c>
      <c r="H49" s="4">
        <f>$D$17</f>
        <v/>
      </c>
      <c r="I49" s="4">
        <f>$E$17</f>
        <v/>
      </c>
      <c r="J49" s="3">
        <f>IF($A49&lt;$D$17,"ITM",IF($A49=$D$17,"ATM","OTM"))</f>
        <v/>
      </c>
      <c r="K49" s="3">
        <f>IF($A49&lt;$D$17,"SI","NO")</f>
        <v/>
      </c>
      <c r="L49" s="4">
        <f>MAX($D$17-$A49,0)*$F$17</f>
        <v/>
      </c>
      <c r="M49" s="4">
        <f>L49-$E$17*$F$17</f>
        <v/>
      </c>
      <c r="N49" s="4">
        <f>F49+L49</f>
        <v/>
      </c>
      <c r="O49" s="4">
        <f>G49+M49</f>
        <v/>
      </c>
      <c r="P49" s="17">
        <f>O49*B7*B8</f>
        <v/>
      </c>
    </row>
    <row r="51">
      <c r="A51" s="11" t="inlineStr">
        <is>
          <t>RESUMEN DE LA ESTRATEGIA</t>
        </is>
      </c>
    </row>
    <row r="52">
      <c r="A52" s="13" t="inlineStr">
        <is>
          <t>Break-even(s)</t>
        </is>
      </c>
      <c r="C52" t="inlineStr">
        <is>
          <t>88.69</t>
        </is>
      </c>
    </row>
    <row r="53">
      <c r="A53" s="13" t="inlineStr">
        <is>
          <t>Ganancia maxima (USD)</t>
        </is>
      </c>
      <c r="C53" s="15">
        <f>MAX(P24:P49)</f>
        <v/>
      </c>
    </row>
    <row r="54">
      <c r="A54" s="13" t="inlineStr">
        <is>
          <t>Perdida maxima (USD)</t>
        </is>
      </c>
      <c r="C54" s="15">
        <f>MIN(P24:P49)</f>
        <v/>
      </c>
    </row>
    <row r="55">
      <c r="A55" s="13" t="inlineStr">
        <is>
          <t>Prima neta total (USD)</t>
        </is>
      </c>
      <c r="C55" s="15">
        <f>E20</f>
        <v/>
      </c>
    </row>
    <row r="56">
      <c r="A56" s="13" t="inlineStr">
        <is>
          <t>Capital en riesgo (USD)</t>
        </is>
      </c>
      <c r="C56" t="n">
        <v>14760</v>
      </c>
    </row>
    <row r="58">
      <c r="A58" s="11" t="inlineStr">
        <is>
          <t>RESULTADO POR ESCENARIO (al vencimiento)</t>
        </is>
      </c>
    </row>
    <row r="59">
      <c r="A59" s="2" t="inlineStr">
        <is>
          <t>Escenario</t>
        </is>
      </c>
      <c r="B59" s="2" t="inlineStr">
        <is>
          <t>ST asumido</t>
        </is>
      </c>
      <c r="C59" s="2" t="inlineStr">
        <is>
          <t>GoP total (USD)</t>
        </is>
      </c>
      <c r="D59" s="2" t="inlineStr">
        <is>
          <t>Rent. s/ capital riesgo</t>
        </is>
      </c>
    </row>
    <row r="60">
      <c r="A60" s="3" t="inlineStr">
        <is>
          <t>Optimista</t>
        </is>
      </c>
      <c r="B60" s="4" t="n">
        <v>98.31999999999999</v>
      </c>
      <c r="C60" s="17" t="n">
        <v>5240</v>
      </c>
      <c r="D60" s="6" t="n">
        <v>0.3550135501355013</v>
      </c>
    </row>
    <row r="61">
      <c r="A61" s="3" t="inlineStr">
        <is>
          <t>Base</t>
        </is>
      </c>
      <c r="B61" s="4" t="n">
        <v>92.75</v>
      </c>
      <c r="C61" s="17" t="n">
        <v>5240</v>
      </c>
      <c r="D61" s="6" t="n">
        <v>0.3550135501355013</v>
      </c>
    </row>
    <row r="62">
      <c r="A62" s="3" t="inlineStr">
        <is>
          <t>Pesimista</t>
        </is>
      </c>
      <c r="B62" s="4" t="n">
        <v>87.18000000000001</v>
      </c>
      <c r="C62" s="16" t="n">
        <v>-6020</v>
      </c>
      <c r="D62" s="6" t="n">
        <v>-0.4078590785907891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MSFT — Bull Put Spread 385/380</t>
        </is>
      </c>
    </row>
    <row r="2">
      <c r="A2" s="12" t="inlineStr">
        <is>
          <t>Bull Put Spread  ·  Sesgo: Alcista  ·  Confianza: Media-alta</t>
        </is>
      </c>
    </row>
    <row r="4">
      <c r="A4" s="11" t="inlineStr">
        <is>
          <t>PARAMETROS</t>
        </is>
      </c>
    </row>
    <row r="5">
      <c r="A5" s="13" t="inlineStr">
        <is>
          <t>Subyacente</t>
        </is>
      </c>
      <c r="B5" t="inlineStr">
        <is>
          <t>MSFT</t>
        </is>
      </c>
    </row>
    <row r="6">
      <c r="A6" s="13" t="inlineStr">
        <is>
          <t>Spot de entrada (2-jul-2026)</t>
        </is>
      </c>
      <c r="B6" t="n">
        <v>390.49</v>
      </c>
    </row>
    <row r="7">
      <c r="A7" s="13" t="inlineStr">
        <is>
          <t>Contratos</t>
        </is>
      </c>
      <c r="B7" t="n">
        <v>30</v>
      </c>
    </row>
    <row r="8">
      <c r="A8" s="13" t="inlineStr">
        <is>
          <t>Acciones por contrato</t>
        </is>
      </c>
      <c r="B8" t="n">
        <v>100</v>
      </c>
    </row>
    <row r="9">
      <c r="A9" s="13" t="inlineStr">
        <is>
          <t>Total de acciones</t>
        </is>
      </c>
      <c r="B9">
        <f>B7*B8</f>
        <v/>
      </c>
    </row>
    <row r="10">
      <c r="A10" s="13" t="inlineStr">
        <is>
          <t>Vencimiento</t>
        </is>
      </c>
      <c r="B10" t="inlineStr">
        <is>
          <t>2026-07-10</t>
        </is>
      </c>
    </row>
    <row r="11">
      <c r="A11" s="13" t="inlineStr">
        <is>
          <t>r (anual)</t>
        </is>
      </c>
      <c r="B11" t="n">
        <v>0.045</v>
      </c>
    </row>
    <row r="12">
      <c r="A12" s="13" t="inlineStr">
        <is>
          <t>T (anios)</t>
        </is>
      </c>
      <c r="B12" t="n">
        <v>0.0219</v>
      </c>
    </row>
    <row r="14">
      <c r="A14" s="11" t="inlineStr">
        <is>
          <t>PATAS DE LA ESTRATEGIA</t>
        </is>
      </c>
    </row>
    <row r="15">
      <c r="A15" s="2" t="inlineStr">
        <is>
          <t>Pata</t>
        </is>
      </c>
      <c r="B15" s="2" t="inlineStr">
        <is>
          <t>Tipo</t>
        </is>
      </c>
      <c r="C15" s="2" t="inlineStr">
        <is>
          <t>Lado</t>
        </is>
      </c>
      <c r="D15" s="2" t="inlineStr">
        <is>
          <t>Strike (K)</t>
        </is>
      </c>
      <c r="E15" s="2" t="inlineStr">
        <is>
          <t>Prima/accion</t>
        </is>
      </c>
      <c r="F15" s="2" t="inlineStr">
        <is>
          <t>Mult</t>
        </is>
      </c>
    </row>
    <row r="16">
      <c r="A16" s="3" t="inlineStr">
        <is>
          <t>P1</t>
        </is>
      </c>
      <c r="B16" s="3" t="inlineStr">
        <is>
          <t>PUT</t>
        </is>
      </c>
      <c r="C16" s="3" t="inlineStr">
        <is>
          <t>SHORT</t>
        </is>
      </c>
      <c r="D16" s="3" t="n">
        <v>385</v>
      </c>
      <c r="E16" s="3" t="n">
        <v>5.13</v>
      </c>
      <c r="F16" s="3" t="n">
        <v>1</v>
      </c>
    </row>
    <row r="17">
      <c r="A17" s="3" t="inlineStr">
        <is>
          <t>P2</t>
        </is>
      </c>
      <c r="B17" s="3" t="inlineStr">
        <is>
          <t>PUT</t>
        </is>
      </c>
      <c r="C17" s="3" t="inlineStr">
        <is>
          <t>LONG</t>
        </is>
      </c>
      <c r="D17" s="3" t="n">
        <v>380</v>
      </c>
      <c r="E17" s="3" t="n">
        <v>3.49</v>
      </c>
      <c r="F17" s="3" t="n">
        <v>1</v>
      </c>
    </row>
    <row r="19">
      <c r="A19" s="13" t="inlineStr">
        <is>
          <t>Prima neta / accion (cred + / deb -)</t>
        </is>
      </c>
      <c r="E19" s="14">
        <f>E16*F16-E17*F17</f>
        <v/>
      </c>
    </row>
    <row r="20">
      <c r="A20" s="13" t="inlineStr">
        <is>
          <t>Prima neta total (USD)</t>
        </is>
      </c>
      <c r="E20" s="15">
        <f>E19*B7*B8</f>
        <v/>
      </c>
    </row>
    <row r="22">
      <c r="A22" s="11" t="inlineStr">
        <is>
          <t>TABLA DE PAYOFF AL VENCIMIENTO</t>
        </is>
      </c>
    </row>
    <row r="23">
      <c r="A23" s="2" t="inlineStr">
        <is>
          <t>ST (Spot)</t>
        </is>
      </c>
      <c r="B23" s="2" t="inlineStr">
        <is>
          <t>P1 K</t>
        </is>
      </c>
      <c r="C23" s="2" t="inlineStr">
        <is>
          <t>P1 Prima</t>
        </is>
      </c>
      <c r="D23" s="2" t="inlineStr">
        <is>
          <t>P1 Moneyness</t>
        </is>
      </c>
      <c r="E23" s="2" t="inlineStr">
        <is>
          <t>P1 Ejerce</t>
        </is>
      </c>
      <c r="F23" s="2" t="inlineStr">
        <is>
          <t>P1 Payoff/acc</t>
        </is>
      </c>
      <c r="G23" s="2" t="inlineStr">
        <is>
          <t>P1 GoP/acc</t>
        </is>
      </c>
      <c r="H23" s="2" t="inlineStr">
        <is>
          <t>P2 K</t>
        </is>
      </c>
      <c r="I23" s="2" t="inlineStr">
        <is>
          <t>P2 Prima</t>
        </is>
      </c>
      <c r="J23" s="2" t="inlineStr">
        <is>
          <t>P2 Moneyness</t>
        </is>
      </c>
      <c r="K23" s="2" t="inlineStr">
        <is>
          <t>P2 Ejerce</t>
        </is>
      </c>
      <c r="L23" s="2" t="inlineStr">
        <is>
          <t>P2 Payoff/acc</t>
        </is>
      </c>
      <c r="M23" s="2" t="inlineStr">
        <is>
          <t>P2 GoP/acc</t>
        </is>
      </c>
      <c r="N23" s="2" t="inlineStr">
        <is>
          <t>Payoff neto/acc</t>
        </is>
      </c>
      <c r="O23" s="2" t="inlineStr">
        <is>
          <t>GoP neto/acc</t>
        </is>
      </c>
      <c r="P23" s="2" t="inlineStr">
        <is>
          <t>GoP TOTAL (USD)</t>
        </is>
      </c>
    </row>
    <row r="24">
      <c r="A24" s="4" t="n">
        <v>349.88</v>
      </c>
      <c r="B24" s="4">
        <f>$D$16</f>
        <v/>
      </c>
      <c r="C24" s="4">
        <f>$E$16</f>
        <v/>
      </c>
      <c r="D24" s="3">
        <f>IF($A24&lt;$D$16,"ITM",IF($A24=$D$16,"ATM","OTM"))</f>
        <v/>
      </c>
      <c r="E24" s="3">
        <f>IF($A24&lt;$D$16,"SI","NO")</f>
        <v/>
      </c>
      <c r="F24" s="4">
        <f>-MAX($D$16-$A24,0)*$F$16</f>
        <v/>
      </c>
      <c r="G24" s="4">
        <f>$E$16*$F$16+F24</f>
        <v/>
      </c>
      <c r="H24" s="4">
        <f>$D$17</f>
        <v/>
      </c>
      <c r="I24" s="4">
        <f>$E$17</f>
        <v/>
      </c>
      <c r="J24" s="3">
        <f>IF($A24&lt;$D$17,"ITM",IF($A24=$D$17,"ATM","OTM"))</f>
        <v/>
      </c>
      <c r="K24" s="3">
        <f>IF($A24&lt;$D$17,"SI","NO")</f>
        <v/>
      </c>
      <c r="L24" s="4">
        <f>MAX($D$17-$A24,0)*$F$17</f>
        <v/>
      </c>
      <c r="M24" s="4">
        <f>L24-$E$17*$F$17</f>
        <v/>
      </c>
      <c r="N24" s="4">
        <f>F24+L24</f>
        <v/>
      </c>
      <c r="O24" s="4">
        <f>G24+M24</f>
        <v/>
      </c>
      <c r="P24" s="16">
        <f>O24*B7*B8</f>
        <v/>
      </c>
    </row>
    <row r="25">
      <c r="A25" s="4" t="n">
        <v>352.85</v>
      </c>
      <c r="B25" s="4">
        <f>$D$16</f>
        <v/>
      </c>
      <c r="C25" s="4">
        <f>$E$16</f>
        <v/>
      </c>
      <c r="D25" s="3">
        <f>IF($A25&lt;$D$16,"ITM",IF($A25=$D$16,"ATM","OTM"))</f>
        <v/>
      </c>
      <c r="E25" s="3">
        <f>IF($A25&lt;$D$16,"SI","NO")</f>
        <v/>
      </c>
      <c r="F25" s="4">
        <f>-MAX($D$16-$A25,0)*$F$16</f>
        <v/>
      </c>
      <c r="G25" s="4">
        <f>$E$16*$F$16+F25</f>
        <v/>
      </c>
      <c r="H25" s="4">
        <f>$D$17</f>
        <v/>
      </c>
      <c r="I25" s="4">
        <f>$E$17</f>
        <v/>
      </c>
      <c r="J25" s="3">
        <f>IF($A25&lt;$D$17,"ITM",IF($A25=$D$17,"ATM","OTM"))</f>
        <v/>
      </c>
      <c r="K25" s="3">
        <f>IF($A25&lt;$D$17,"SI","NO")</f>
        <v/>
      </c>
      <c r="L25" s="4">
        <f>MAX($D$17-$A25,0)*$F$17</f>
        <v/>
      </c>
      <c r="M25" s="4">
        <f>L25-$E$17*$F$17</f>
        <v/>
      </c>
      <c r="N25" s="4">
        <f>F25+L25</f>
        <v/>
      </c>
      <c r="O25" s="4">
        <f>G25+M25</f>
        <v/>
      </c>
      <c r="P25" s="16">
        <f>O25*B7*B8</f>
        <v/>
      </c>
    </row>
    <row r="26">
      <c r="A26" s="4" t="n">
        <v>355.81</v>
      </c>
      <c r="B26" s="4">
        <f>$D$16</f>
        <v/>
      </c>
      <c r="C26" s="4">
        <f>$E$16</f>
        <v/>
      </c>
      <c r="D26" s="3">
        <f>IF($A26&lt;$D$16,"ITM",IF($A26=$D$16,"ATM","OTM"))</f>
        <v/>
      </c>
      <c r="E26" s="3">
        <f>IF($A26&lt;$D$16,"SI","NO")</f>
        <v/>
      </c>
      <c r="F26" s="4">
        <f>-MAX($D$16-$A26,0)*$F$16</f>
        <v/>
      </c>
      <c r="G26" s="4">
        <f>$E$16*$F$16+F26</f>
        <v/>
      </c>
      <c r="H26" s="4">
        <f>$D$17</f>
        <v/>
      </c>
      <c r="I26" s="4">
        <f>$E$17</f>
        <v/>
      </c>
      <c r="J26" s="3">
        <f>IF($A26&lt;$D$17,"ITM",IF($A26=$D$17,"ATM","OTM"))</f>
        <v/>
      </c>
      <c r="K26" s="3">
        <f>IF($A26&lt;$D$17,"SI","NO")</f>
        <v/>
      </c>
      <c r="L26" s="4">
        <f>MAX($D$17-$A26,0)*$F$17</f>
        <v/>
      </c>
      <c r="M26" s="4">
        <f>L26-$E$17*$F$17</f>
        <v/>
      </c>
      <c r="N26" s="4">
        <f>F26+L26</f>
        <v/>
      </c>
      <c r="O26" s="4">
        <f>G26+M26</f>
        <v/>
      </c>
      <c r="P26" s="16">
        <f>O26*B7*B8</f>
        <v/>
      </c>
    </row>
    <row r="27">
      <c r="A27" s="4" t="n">
        <v>358.78</v>
      </c>
      <c r="B27" s="4">
        <f>$D$16</f>
        <v/>
      </c>
      <c r="C27" s="4">
        <f>$E$16</f>
        <v/>
      </c>
      <c r="D27" s="3">
        <f>IF($A27&lt;$D$16,"ITM",IF($A27=$D$16,"ATM","OTM"))</f>
        <v/>
      </c>
      <c r="E27" s="3">
        <f>IF($A27&lt;$D$16,"SI","NO")</f>
        <v/>
      </c>
      <c r="F27" s="4">
        <f>-MAX($D$16-$A27,0)*$F$16</f>
        <v/>
      </c>
      <c r="G27" s="4">
        <f>$E$16*$F$16+F27</f>
        <v/>
      </c>
      <c r="H27" s="4">
        <f>$D$17</f>
        <v/>
      </c>
      <c r="I27" s="4">
        <f>$E$17</f>
        <v/>
      </c>
      <c r="J27" s="3">
        <f>IF($A27&lt;$D$17,"ITM",IF($A27=$D$17,"ATM","OTM"))</f>
        <v/>
      </c>
      <c r="K27" s="3">
        <f>IF($A27&lt;$D$17,"SI","NO")</f>
        <v/>
      </c>
      <c r="L27" s="4">
        <f>MAX($D$17-$A27,0)*$F$17</f>
        <v/>
      </c>
      <c r="M27" s="4">
        <f>L27-$E$17*$F$17</f>
        <v/>
      </c>
      <c r="N27" s="4">
        <f>F27+L27</f>
        <v/>
      </c>
      <c r="O27" s="4">
        <f>G27+M27</f>
        <v/>
      </c>
      <c r="P27" s="16">
        <f>O27*B7*B8</f>
        <v/>
      </c>
    </row>
    <row r="28">
      <c r="A28" s="4" t="n">
        <v>361.74</v>
      </c>
      <c r="B28" s="4">
        <f>$D$16</f>
        <v/>
      </c>
      <c r="C28" s="4">
        <f>$E$16</f>
        <v/>
      </c>
      <c r="D28" s="3">
        <f>IF($A28&lt;$D$16,"ITM",IF($A28=$D$16,"ATM","OTM"))</f>
        <v/>
      </c>
      <c r="E28" s="3">
        <f>IF($A28&lt;$D$16,"SI","NO")</f>
        <v/>
      </c>
      <c r="F28" s="4">
        <f>-MAX($D$16-$A28,0)*$F$16</f>
        <v/>
      </c>
      <c r="G28" s="4">
        <f>$E$16*$F$16+F28</f>
        <v/>
      </c>
      <c r="H28" s="4">
        <f>$D$17</f>
        <v/>
      </c>
      <c r="I28" s="4">
        <f>$E$17</f>
        <v/>
      </c>
      <c r="J28" s="3">
        <f>IF($A28&lt;$D$17,"ITM",IF($A28=$D$17,"ATM","OTM"))</f>
        <v/>
      </c>
      <c r="K28" s="3">
        <f>IF($A28&lt;$D$17,"SI","NO")</f>
        <v/>
      </c>
      <c r="L28" s="4">
        <f>MAX($D$17-$A28,0)*$F$17</f>
        <v/>
      </c>
      <c r="M28" s="4">
        <f>L28-$E$17*$F$17</f>
        <v/>
      </c>
      <c r="N28" s="4">
        <f>F28+L28</f>
        <v/>
      </c>
      <c r="O28" s="4">
        <f>G28+M28</f>
        <v/>
      </c>
      <c r="P28" s="16">
        <f>O28*B7*B8</f>
        <v/>
      </c>
    </row>
    <row r="29">
      <c r="A29" s="4" t="n">
        <v>364.71</v>
      </c>
      <c r="B29" s="4">
        <f>$D$16</f>
        <v/>
      </c>
      <c r="C29" s="4">
        <f>$E$16</f>
        <v/>
      </c>
      <c r="D29" s="3">
        <f>IF($A29&lt;$D$16,"ITM",IF($A29=$D$16,"ATM","OTM"))</f>
        <v/>
      </c>
      <c r="E29" s="3">
        <f>IF($A29&lt;$D$16,"SI","NO")</f>
        <v/>
      </c>
      <c r="F29" s="4">
        <f>-MAX($D$16-$A29,0)*$F$16</f>
        <v/>
      </c>
      <c r="G29" s="4">
        <f>$E$16*$F$16+F29</f>
        <v/>
      </c>
      <c r="H29" s="4">
        <f>$D$17</f>
        <v/>
      </c>
      <c r="I29" s="4">
        <f>$E$17</f>
        <v/>
      </c>
      <c r="J29" s="3">
        <f>IF($A29&lt;$D$17,"ITM",IF($A29=$D$17,"ATM","OTM"))</f>
        <v/>
      </c>
      <c r="K29" s="3">
        <f>IF($A29&lt;$D$17,"SI","NO")</f>
        <v/>
      </c>
      <c r="L29" s="4">
        <f>MAX($D$17-$A29,0)*$F$17</f>
        <v/>
      </c>
      <c r="M29" s="4">
        <f>L29-$E$17*$F$17</f>
        <v/>
      </c>
      <c r="N29" s="4">
        <f>F29+L29</f>
        <v/>
      </c>
      <c r="O29" s="4">
        <f>G29+M29</f>
        <v/>
      </c>
      <c r="P29" s="16">
        <f>O29*B7*B8</f>
        <v/>
      </c>
    </row>
    <row r="30">
      <c r="A30" s="4" t="n">
        <v>367.67</v>
      </c>
      <c r="B30" s="4">
        <f>$D$16</f>
        <v/>
      </c>
      <c r="C30" s="4">
        <f>$E$16</f>
        <v/>
      </c>
      <c r="D30" s="3">
        <f>IF($A30&lt;$D$16,"ITM",IF($A30=$D$16,"ATM","OTM"))</f>
        <v/>
      </c>
      <c r="E30" s="3">
        <f>IF($A30&lt;$D$16,"SI","NO")</f>
        <v/>
      </c>
      <c r="F30" s="4">
        <f>-MAX($D$16-$A30,0)*$F$16</f>
        <v/>
      </c>
      <c r="G30" s="4">
        <f>$E$16*$F$16+F30</f>
        <v/>
      </c>
      <c r="H30" s="4">
        <f>$D$17</f>
        <v/>
      </c>
      <c r="I30" s="4">
        <f>$E$17</f>
        <v/>
      </c>
      <c r="J30" s="3">
        <f>IF($A30&lt;$D$17,"ITM",IF($A30=$D$17,"ATM","OTM"))</f>
        <v/>
      </c>
      <c r="K30" s="3">
        <f>IF($A30&lt;$D$17,"SI","NO")</f>
        <v/>
      </c>
      <c r="L30" s="4">
        <f>MAX($D$17-$A30,0)*$F$17</f>
        <v/>
      </c>
      <c r="M30" s="4">
        <f>L30-$E$17*$F$17</f>
        <v/>
      </c>
      <c r="N30" s="4">
        <f>F30+L30</f>
        <v/>
      </c>
      <c r="O30" s="4">
        <f>G30+M30</f>
        <v/>
      </c>
      <c r="P30" s="16">
        <f>O30*B7*B8</f>
        <v/>
      </c>
    </row>
    <row r="31">
      <c r="A31" s="4" t="n">
        <v>370.64</v>
      </c>
      <c r="B31" s="4">
        <f>$D$16</f>
        <v/>
      </c>
      <c r="C31" s="4">
        <f>$E$16</f>
        <v/>
      </c>
      <c r="D31" s="3">
        <f>IF($A31&lt;$D$16,"ITM",IF($A31=$D$16,"ATM","OTM"))</f>
        <v/>
      </c>
      <c r="E31" s="3">
        <f>IF($A31&lt;$D$16,"SI","NO")</f>
        <v/>
      </c>
      <c r="F31" s="4">
        <f>-MAX($D$16-$A31,0)*$F$16</f>
        <v/>
      </c>
      <c r="G31" s="4">
        <f>$E$16*$F$16+F31</f>
        <v/>
      </c>
      <c r="H31" s="4">
        <f>$D$17</f>
        <v/>
      </c>
      <c r="I31" s="4">
        <f>$E$17</f>
        <v/>
      </c>
      <c r="J31" s="3">
        <f>IF($A31&lt;$D$17,"ITM",IF($A31=$D$17,"ATM","OTM"))</f>
        <v/>
      </c>
      <c r="K31" s="3">
        <f>IF($A31&lt;$D$17,"SI","NO")</f>
        <v/>
      </c>
      <c r="L31" s="4">
        <f>MAX($D$17-$A31,0)*$F$17</f>
        <v/>
      </c>
      <c r="M31" s="4">
        <f>L31-$E$17*$F$17</f>
        <v/>
      </c>
      <c r="N31" s="4">
        <f>F31+L31</f>
        <v/>
      </c>
      <c r="O31" s="4">
        <f>G31+M31</f>
        <v/>
      </c>
      <c r="P31" s="16">
        <f>O31*B7*B8</f>
        <v/>
      </c>
    </row>
    <row r="32">
      <c r="A32" s="4" t="n">
        <v>373.6</v>
      </c>
      <c r="B32" s="4">
        <f>$D$16</f>
        <v/>
      </c>
      <c r="C32" s="4">
        <f>$E$16</f>
        <v/>
      </c>
      <c r="D32" s="3">
        <f>IF($A32&lt;$D$16,"ITM",IF($A32=$D$16,"ATM","OTM"))</f>
        <v/>
      </c>
      <c r="E32" s="3">
        <f>IF($A32&lt;$D$16,"SI","NO")</f>
        <v/>
      </c>
      <c r="F32" s="4">
        <f>-MAX($D$16-$A32,0)*$F$16</f>
        <v/>
      </c>
      <c r="G32" s="4">
        <f>$E$16*$F$16+F32</f>
        <v/>
      </c>
      <c r="H32" s="4">
        <f>$D$17</f>
        <v/>
      </c>
      <c r="I32" s="4">
        <f>$E$17</f>
        <v/>
      </c>
      <c r="J32" s="3">
        <f>IF($A32&lt;$D$17,"ITM",IF($A32=$D$17,"ATM","OTM"))</f>
        <v/>
      </c>
      <c r="K32" s="3">
        <f>IF($A32&lt;$D$17,"SI","NO")</f>
        <v/>
      </c>
      <c r="L32" s="4">
        <f>MAX($D$17-$A32,0)*$F$17</f>
        <v/>
      </c>
      <c r="M32" s="4">
        <f>L32-$E$17*$F$17</f>
        <v/>
      </c>
      <c r="N32" s="4">
        <f>F32+L32</f>
        <v/>
      </c>
      <c r="O32" s="4">
        <f>G32+M32</f>
        <v/>
      </c>
      <c r="P32" s="16">
        <f>O32*B7*B8</f>
        <v/>
      </c>
    </row>
    <row r="33">
      <c r="A33" s="4" t="n">
        <v>376.57</v>
      </c>
      <c r="B33" s="4">
        <f>$D$16</f>
        <v/>
      </c>
      <c r="C33" s="4">
        <f>$E$16</f>
        <v/>
      </c>
      <c r="D33" s="3">
        <f>IF($A33&lt;$D$16,"ITM",IF($A33=$D$16,"ATM","OTM"))</f>
        <v/>
      </c>
      <c r="E33" s="3">
        <f>IF($A33&lt;$D$16,"SI","NO")</f>
        <v/>
      </c>
      <c r="F33" s="4">
        <f>-MAX($D$16-$A33,0)*$F$16</f>
        <v/>
      </c>
      <c r="G33" s="4">
        <f>$E$16*$F$16+F33</f>
        <v/>
      </c>
      <c r="H33" s="4">
        <f>$D$17</f>
        <v/>
      </c>
      <c r="I33" s="4">
        <f>$E$17</f>
        <v/>
      </c>
      <c r="J33" s="3">
        <f>IF($A33&lt;$D$17,"ITM",IF($A33=$D$17,"ATM","OTM"))</f>
        <v/>
      </c>
      <c r="K33" s="3">
        <f>IF($A33&lt;$D$17,"SI","NO")</f>
        <v/>
      </c>
      <c r="L33" s="4">
        <f>MAX($D$17-$A33,0)*$F$17</f>
        <v/>
      </c>
      <c r="M33" s="4">
        <f>L33-$E$17*$F$17</f>
        <v/>
      </c>
      <c r="N33" s="4">
        <f>F33+L33</f>
        <v/>
      </c>
      <c r="O33" s="4">
        <f>G33+M33</f>
        <v/>
      </c>
      <c r="P33" s="16">
        <f>O33*B7*B8</f>
        <v/>
      </c>
    </row>
    <row r="34">
      <c r="A34" s="4" t="n">
        <v>379.53</v>
      </c>
      <c r="B34" s="4">
        <f>$D$16</f>
        <v/>
      </c>
      <c r="C34" s="4">
        <f>$E$16</f>
        <v/>
      </c>
      <c r="D34" s="3">
        <f>IF($A34&lt;$D$16,"ITM",IF($A34=$D$16,"ATM","OTM"))</f>
        <v/>
      </c>
      <c r="E34" s="3">
        <f>IF($A34&lt;$D$16,"SI","NO")</f>
        <v/>
      </c>
      <c r="F34" s="4">
        <f>-MAX($D$16-$A34,0)*$F$16</f>
        <v/>
      </c>
      <c r="G34" s="4">
        <f>$E$16*$F$16+F34</f>
        <v/>
      </c>
      <c r="H34" s="4">
        <f>$D$17</f>
        <v/>
      </c>
      <c r="I34" s="4">
        <f>$E$17</f>
        <v/>
      </c>
      <c r="J34" s="3">
        <f>IF($A34&lt;$D$17,"ITM",IF($A34=$D$17,"ATM","OTM"))</f>
        <v/>
      </c>
      <c r="K34" s="3">
        <f>IF($A34&lt;$D$17,"SI","NO")</f>
        <v/>
      </c>
      <c r="L34" s="4">
        <f>MAX($D$17-$A34,0)*$F$17</f>
        <v/>
      </c>
      <c r="M34" s="4">
        <f>L34-$E$17*$F$17</f>
        <v/>
      </c>
      <c r="N34" s="4">
        <f>F34+L34</f>
        <v/>
      </c>
      <c r="O34" s="4">
        <f>G34+M34</f>
        <v/>
      </c>
      <c r="P34" s="16">
        <f>O34*B7*B8</f>
        <v/>
      </c>
    </row>
    <row r="35">
      <c r="A35" s="4" t="n">
        <v>380</v>
      </c>
      <c r="B35" s="4">
        <f>$D$16</f>
        <v/>
      </c>
      <c r="C35" s="4">
        <f>$E$16</f>
        <v/>
      </c>
      <c r="D35" s="3">
        <f>IF($A35&lt;$D$16,"ITM",IF($A35=$D$16,"ATM","OTM"))</f>
        <v/>
      </c>
      <c r="E35" s="3">
        <f>IF($A35&lt;$D$16,"SI","NO")</f>
        <v/>
      </c>
      <c r="F35" s="4">
        <f>-MAX($D$16-$A35,0)*$F$16</f>
        <v/>
      </c>
      <c r="G35" s="4">
        <f>$E$16*$F$16+F35</f>
        <v/>
      </c>
      <c r="H35" s="4">
        <f>$D$17</f>
        <v/>
      </c>
      <c r="I35" s="4">
        <f>$E$17</f>
        <v/>
      </c>
      <c r="J35" s="3">
        <f>IF($A35&lt;$D$17,"ITM",IF($A35=$D$17,"ATM","OTM"))</f>
        <v/>
      </c>
      <c r="K35" s="3">
        <f>IF($A35&lt;$D$17,"SI","NO")</f>
        <v/>
      </c>
      <c r="L35" s="4">
        <f>MAX($D$17-$A35,0)*$F$17</f>
        <v/>
      </c>
      <c r="M35" s="4">
        <f>L35-$E$17*$F$17</f>
        <v/>
      </c>
      <c r="N35" s="4">
        <f>F35+L35</f>
        <v/>
      </c>
      <c r="O35" s="4">
        <f>G35+M35</f>
        <v/>
      </c>
      <c r="P35" s="16">
        <f>O35*B7*B8</f>
        <v/>
      </c>
    </row>
    <row r="36">
      <c r="A36" s="4" t="n">
        <v>382.5</v>
      </c>
      <c r="B36" s="4">
        <f>$D$16</f>
        <v/>
      </c>
      <c r="C36" s="4">
        <f>$E$16</f>
        <v/>
      </c>
      <c r="D36" s="3">
        <f>IF($A36&lt;$D$16,"ITM",IF($A36=$D$16,"ATM","OTM"))</f>
        <v/>
      </c>
      <c r="E36" s="3">
        <f>IF($A36&lt;$D$16,"SI","NO")</f>
        <v/>
      </c>
      <c r="F36" s="4">
        <f>-MAX($D$16-$A36,0)*$F$16</f>
        <v/>
      </c>
      <c r="G36" s="4">
        <f>$E$16*$F$16+F36</f>
        <v/>
      </c>
      <c r="H36" s="4">
        <f>$D$17</f>
        <v/>
      </c>
      <c r="I36" s="4">
        <f>$E$17</f>
        <v/>
      </c>
      <c r="J36" s="3">
        <f>IF($A36&lt;$D$17,"ITM",IF($A36=$D$17,"ATM","OTM"))</f>
        <v/>
      </c>
      <c r="K36" s="3">
        <f>IF($A36&lt;$D$17,"SI","NO")</f>
        <v/>
      </c>
      <c r="L36" s="4">
        <f>MAX($D$17-$A36,0)*$F$17</f>
        <v/>
      </c>
      <c r="M36" s="4">
        <f>L36-$E$17*$F$17</f>
        <v/>
      </c>
      <c r="N36" s="4">
        <f>F36+L36</f>
        <v/>
      </c>
      <c r="O36" s="4">
        <f>G36+M36</f>
        <v/>
      </c>
      <c r="P36" s="16">
        <f>O36*B7*B8</f>
        <v/>
      </c>
    </row>
    <row r="37">
      <c r="A37" s="4" t="n">
        <v>385</v>
      </c>
      <c r="B37" s="4">
        <f>$D$16</f>
        <v/>
      </c>
      <c r="C37" s="4">
        <f>$E$16</f>
        <v/>
      </c>
      <c r="D37" s="3">
        <f>IF($A37&lt;$D$16,"ITM",IF($A37=$D$16,"ATM","OTM"))</f>
        <v/>
      </c>
      <c r="E37" s="3">
        <f>IF($A37&lt;$D$16,"SI","NO")</f>
        <v/>
      </c>
      <c r="F37" s="4">
        <f>-MAX($D$16-$A37,0)*$F$16</f>
        <v/>
      </c>
      <c r="G37" s="4">
        <f>$E$16*$F$16+F37</f>
        <v/>
      </c>
      <c r="H37" s="4">
        <f>$D$17</f>
        <v/>
      </c>
      <c r="I37" s="4">
        <f>$E$17</f>
        <v/>
      </c>
      <c r="J37" s="3">
        <f>IF($A37&lt;$D$17,"ITM",IF($A37=$D$17,"ATM","OTM"))</f>
        <v/>
      </c>
      <c r="K37" s="3">
        <f>IF($A37&lt;$D$17,"SI","NO")</f>
        <v/>
      </c>
      <c r="L37" s="4">
        <f>MAX($D$17-$A37,0)*$F$17</f>
        <v/>
      </c>
      <c r="M37" s="4">
        <f>L37-$E$17*$F$17</f>
        <v/>
      </c>
      <c r="N37" s="4">
        <f>F37+L37</f>
        <v/>
      </c>
      <c r="O37" s="4">
        <f>G37+M37</f>
        <v/>
      </c>
      <c r="P37" s="17">
        <f>O37*B7*B8</f>
        <v/>
      </c>
    </row>
    <row r="38">
      <c r="A38" s="4" t="n">
        <v>385.47</v>
      </c>
      <c r="B38" s="4">
        <f>$D$16</f>
        <v/>
      </c>
      <c r="C38" s="4">
        <f>$E$16</f>
        <v/>
      </c>
      <c r="D38" s="3">
        <f>IF($A38&lt;$D$16,"ITM",IF($A38=$D$16,"ATM","OTM"))</f>
        <v/>
      </c>
      <c r="E38" s="3">
        <f>IF($A38&lt;$D$16,"SI","NO")</f>
        <v/>
      </c>
      <c r="F38" s="4">
        <f>-MAX($D$16-$A38,0)*$F$16</f>
        <v/>
      </c>
      <c r="G38" s="4">
        <f>$E$16*$F$16+F38</f>
        <v/>
      </c>
      <c r="H38" s="4">
        <f>$D$17</f>
        <v/>
      </c>
      <c r="I38" s="4">
        <f>$E$17</f>
        <v/>
      </c>
      <c r="J38" s="3">
        <f>IF($A38&lt;$D$17,"ITM",IF($A38=$D$17,"ATM","OTM"))</f>
        <v/>
      </c>
      <c r="K38" s="3">
        <f>IF($A38&lt;$D$17,"SI","NO")</f>
        <v/>
      </c>
      <c r="L38" s="4">
        <f>MAX($D$17-$A38,0)*$F$17</f>
        <v/>
      </c>
      <c r="M38" s="4">
        <f>L38-$E$17*$F$17</f>
        <v/>
      </c>
      <c r="N38" s="4">
        <f>F38+L38</f>
        <v/>
      </c>
      <c r="O38" s="4">
        <f>G38+M38</f>
        <v/>
      </c>
      <c r="P38" s="17">
        <f>O38*B7*B8</f>
        <v/>
      </c>
    </row>
    <row r="39">
      <c r="A39" s="4" t="n">
        <v>388.43</v>
      </c>
      <c r="B39" s="4">
        <f>$D$16</f>
        <v/>
      </c>
      <c r="C39" s="4">
        <f>$E$16</f>
        <v/>
      </c>
      <c r="D39" s="3">
        <f>IF($A39&lt;$D$16,"ITM",IF($A39=$D$16,"ATM","OTM"))</f>
        <v/>
      </c>
      <c r="E39" s="3">
        <f>IF($A39&lt;$D$16,"SI","NO")</f>
        <v/>
      </c>
      <c r="F39" s="4">
        <f>-MAX($D$16-$A39,0)*$F$16</f>
        <v/>
      </c>
      <c r="G39" s="4">
        <f>$E$16*$F$16+F39</f>
        <v/>
      </c>
      <c r="H39" s="4">
        <f>$D$17</f>
        <v/>
      </c>
      <c r="I39" s="4">
        <f>$E$17</f>
        <v/>
      </c>
      <c r="J39" s="3">
        <f>IF($A39&lt;$D$17,"ITM",IF($A39=$D$17,"ATM","OTM"))</f>
        <v/>
      </c>
      <c r="K39" s="3">
        <f>IF($A39&lt;$D$17,"SI","NO")</f>
        <v/>
      </c>
      <c r="L39" s="4">
        <f>MAX($D$17-$A39,0)*$F$17</f>
        <v/>
      </c>
      <c r="M39" s="4">
        <f>L39-$E$17*$F$17</f>
        <v/>
      </c>
      <c r="N39" s="4">
        <f>F39+L39</f>
        <v/>
      </c>
      <c r="O39" s="4">
        <f>G39+M39</f>
        <v/>
      </c>
      <c r="P39" s="17">
        <f>O39*B7*B8</f>
        <v/>
      </c>
    </row>
    <row r="40">
      <c r="A40" s="4" t="n">
        <v>390.49</v>
      </c>
      <c r="B40" s="4">
        <f>$D$16</f>
        <v/>
      </c>
      <c r="C40" s="4">
        <f>$E$16</f>
        <v/>
      </c>
      <c r="D40" s="3">
        <f>IF($A40&lt;$D$16,"ITM",IF($A40=$D$16,"ATM","OTM"))</f>
        <v/>
      </c>
      <c r="E40" s="3">
        <f>IF($A40&lt;$D$16,"SI","NO")</f>
        <v/>
      </c>
      <c r="F40" s="4">
        <f>-MAX($D$16-$A40,0)*$F$16</f>
        <v/>
      </c>
      <c r="G40" s="4">
        <f>$E$16*$F$16+F40</f>
        <v/>
      </c>
      <c r="H40" s="4">
        <f>$D$17</f>
        <v/>
      </c>
      <c r="I40" s="4">
        <f>$E$17</f>
        <v/>
      </c>
      <c r="J40" s="3">
        <f>IF($A40&lt;$D$17,"ITM",IF($A40=$D$17,"ATM","OTM"))</f>
        <v/>
      </c>
      <c r="K40" s="3">
        <f>IF($A40&lt;$D$17,"SI","NO")</f>
        <v/>
      </c>
      <c r="L40" s="4">
        <f>MAX($D$17-$A40,0)*$F$17</f>
        <v/>
      </c>
      <c r="M40" s="4">
        <f>L40-$E$17*$F$17</f>
        <v/>
      </c>
      <c r="N40" s="4">
        <f>F40+L40</f>
        <v/>
      </c>
      <c r="O40" s="4">
        <f>G40+M40</f>
        <v/>
      </c>
      <c r="P40" s="17">
        <f>O40*B7*B8</f>
        <v/>
      </c>
    </row>
    <row r="41">
      <c r="A41" s="4" t="n">
        <v>391.4</v>
      </c>
      <c r="B41" s="4">
        <f>$D$16</f>
        <v/>
      </c>
      <c r="C41" s="4">
        <f>$E$16</f>
        <v/>
      </c>
      <c r="D41" s="3">
        <f>IF($A41&lt;$D$16,"ITM",IF($A41=$D$16,"ATM","OTM"))</f>
        <v/>
      </c>
      <c r="E41" s="3">
        <f>IF($A41&lt;$D$16,"SI","NO")</f>
        <v/>
      </c>
      <c r="F41" s="4">
        <f>-MAX($D$16-$A41,0)*$F$16</f>
        <v/>
      </c>
      <c r="G41" s="4">
        <f>$E$16*$F$16+F41</f>
        <v/>
      </c>
      <c r="H41" s="4">
        <f>$D$17</f>
        <v/>
      </c>
      <c r="I41" s="4">
        <f>$E$17</f>
        <v/>
      </c>
      <c r="J41" s="3">
        <f>IF($A41&lt;$D$17,"ITM",IF($A41=$D$17,"ATM","OTM"))</f>
        <v/>
      </c>
      <c r="K41" s="3">
        <f>IF($A41&lt;$D$17,"SI","NO")</f>
        <v/>
      </c>
      <c r="L41" s="4">
        <f>MAX($D$17-$A41,0)*$F$17</f>
        <v/>
      </c>
      <c r="M41" s="4">
        <f>L41-$E$17*$F$17</f>
        <v/>
      </c>
      <c r="N41" s="4">
        <f>F41+L41</f>
        <v/>
      </c>
      <c r="O41" s="4">
        <f>G41+M41</f>
        <v/>
      </c>
      <c r="P41" s="17">
        <f>O41*B7*B8</f>
        <v/>
      </c>
    </row>
    <row r="42">
      <c r="A42" s="4" t="n">
        <v>394.36</v>
      </c>
      <c r="B42" s="4">
        <f>$D$16</f>
        <v/>
      </c>
      <c r="C42" s="4">
        <f>$E$16</f>
        <v/>
      </c>
      <c r="D42" s="3">
        <f>IF($A42&lt;$D$16,"ITM",IF($A42=$D$16,"ATM","OTM"))</f>
        <v/>
      </c>
      <c r="E42" s="3">
        <f>IF($A42&lt;$D$16,"SI","NO")</f>
        <v/>
      </c>
      <c r="F42" s="4">
        <f>-MAX($D$16-$A42,0)*$F$16</f>
        <v/>
      </c>
      <c r="G42" s="4">
        <f>$E$16*$F$16+F42</f>
        <v/>
      </c>
      <c r="H42" s="4">
        <f>$D$17</f>
        <v/>
      </c>
      <c r="I42" s="4">
        <f>$E$17</f>
        <v/>
      </c>
      <c r="J42" s="3">
        <f>IF($A42&lt;$D$17,"ITM",IF($A42=$D$17,"ATM","OTM"))</f>
        <v/>
      </c>
      <c r="K42" s="3">
        <f>IF($A42&lt;$D$17,"SI","NO")</f>
        <v/>
      </c>
      <c r="L42" s="4">
        <f>MAX($D$17-$A42,0)*$F$17</f>
        <v/>
      </c>
      <c r="M42" s="4">
        <f>L42-$E$17*$F$17</f>
        <v/>
      </c>
      <c r="N42" s="4">
        <f>F42+L42</f>
        <v/>
      </c>
      <c r="O42" s="4">
        <f>G42+M42</f>
        <v/>
      </c>
      <c r="P42" s="17">
        <f>O42*B7*B8</f>
        <v/>
      </c>
    </row>
    <row r="43">
      <c r="A43" s="4" t="n">
        <v>397.33</v>
      </c>
      <c r="B43" s="4">
        <f>$D$16</f>
        <v/>
      </c>
      <c r="C43" s="4">
        <f>$E$16</f>
        <v/>
      </c>
      <c r="D43" s="3">
        <f>IF($A43&lt;$D$16,"ITM",IF($A43=$D$16,"ATM","OTM"))</f>
        <v/>
      </c>
      <c r="E43" s="3">
        <f>IF($A43&lt;$D$16,"SI","NO")</f>
        <v/>
      </c>
      <c r="F43" s="4">
        <f>-MAX($D$16-$A43,0)*$F$16</f>
        <v/>
      </c>
      <c r="G43" s="4">
        <f>$E$16*$F$16+F43</f>
        <v/>
      </c>
      <c r="H43" s="4">
        <f>$D$17</f>
        <v/>
      </c>
      <c r="I43" s="4">
        <f>$E$17</f>
        <v/>
      </c>
      <c r="J43" s="3">
        <f>IF($A43&lt;$D$17,"ITM",IF($A43=$D$17,"ATM","OTM"))</f>
        <v/>
      </c>
      <c r="K43" s="3">
        <f>IF($A43&lt;$D$17,"SI","NO")</f>
        <v/>
      </c>
      <c r="L43" s="4">
        <f>MAX($D$17-$A43,0)*$F$17</f>
        <v/>
      </c>
      <c r="M43" s="4">
        <f>L43-$E$17*$F$17</f>
        <v/>
      </c>
      <c r="N43" s="4">
        <f>F43+L43</f>
        <v/>
      </c>
      <c r="O43" s="4">
        <f>G43+M43</f>
        <v/>
      </c>
      <c r="P43" s="17">
        <f>O43*B7*B8</f>
        <v/>
      </c>
    </row>
    <row r="44">
      <c r="A44" s="4" t="n">
        <v>400.29</v>
      </c>
      <c r="B44" s="4">
        <f>$D$16</f>
        <v/>
      </c>
      <c r="C44" s="4">
        <f>$E$16</f>
        <v/>
      </c>
      <c r="D44" s="3">
        <f>IF($A44&lt;$D$16,"ITM",IF($A44=$D$16,"ATM","OTM"))</f>
        <v/>
      </c>
      <c r="E44" s="3">
        <f>IF($A44&lt;$D$16,"SI","NO")</f>
        <v/>
      </c>
      <c r="F44" s="4">
        <f>-MAX($D$16-$A44,0)*$F$16</f>
        <v/>
      </c>
      <c r="G44" s="4">
        <f>$E$16*$F$16+F44</f>
        <v/>
      </c>
      <c r="H44" s="4">
        <f>$D$17</f>
        <v/>
      </c>
      <c r="I44" s="4">
        <f>$E$17</f>
        <v/>
      </c>
      <c r="J44" s="3">
        <f>IF($A44&lt;$D$17,"ITM",IF($A44=$D$17,"ATM","OTM"))</f>
        <v/>
      </c>
      <c r="K44" s="3">
        <f>IF($A44&lt;$D$17,"SI","NO")</f>
        <v/>
      </c>
      <c r="L44" s="4">
        <f>MAX($D$17-$A44,0)*$F$17</f>
        <v/>
      </c>
      <c r="M44" s="4">
        <f>L44-$E$17*$F$17</f>
        <v/>
      </c>
      <c r="N44" s="4">
        <f>F44+L44</f>
        <v/>
      </c>
      <c r="O44" s="4">
        <f>G44+M44</f>
        <v/>
      </c>
      <c r="P44" s="17">
        <f>O44*B7*B8</f>
        <v/>
      </c>
    </row>
    <row r="45">
      <c r="A45" s="4" t="n">
        <v>403.26</v>
      </c>
      <c r="B45" s="4">
        <f>$D$16</f>
        <v/>
      </c>
      <c r="C45" s="4">
        <f>$E$16</f>
        <v/>
      </c>
      <c r="D45" s="3">
        <f>IF($A45&lt;$D$16,"ITM",IF($A45=$D$16,"ATM","OTM"))</f>
        <v/>
      </c>
      <c r="E45" s="3">
        <f>IF($A45&lt;$D$16,"SI","NO")</f>
        <v/>
      </c>
      <c r="F45" s="4">
        <f>-MAX($D$16-$A45,0)*$F$16</f>
        <v/>
      </c>
      <c r="G45" s="4">
        <f>$E$16*$F$16+F45</f>
        <v/>
      </c>
      <c r="H45" s="4">
        <f>$D$17</f>
        <v/>
      </c>
      <c r="I45" s="4">
        <f>$E$17</f>
        <v/>
      </c>
      <c r="J45" s="3">
        <f>IF($A45&lt;$D$17,"ITM",IF($A45=$D$17,"ATM","OTM"))</f>
        <v/>
      </c>
      <c r="K45" s="3">
        <f>IF($A45&lt;$D$17,"SI","NO")</f>
        <v/>
      </c>
      <c r="L45" s="4">
        <f>MAX($D$17-$A45,0)*$F$17</f>
        <v/>
      </c>
      <c r="M45" s="4">
        <f>L45-$E$17*$F$17</f>
        <v/>
      </c>
      <c r="N45" s="4">
        <f>F45+L45</f>
        <v/>
      </c>
      <c r="O45" s="4">
        <f>G45+M45</f>
        <v/>
      </c>
      <c r="P45" s="17">
        <f>O45*B7*B8</f>
        <v/>
      </c>
    </row>
    <row r="46">
      <c r="A46" s="4" t="n">
        <v>406.22</v>
      </c>
      <c r="B46" s="4">
        <f>$D$16</f>
        <v/>
      </c>
      <c r="C46" s="4">
        <f>$E$16</f>
        <v/>
      </c>
      <c r="D46" s="3">
        <f>IF($A46&lt;$D$16,"ITM",IF($A46=$D$16,"ATM","OTM"))</f>
        <v/>
      </c>
      <c r="E46" s="3">
        <f>IF($A46&lt;$D$16,"SI","NO")</f>
        <v/>
      </c>
      <c r="F46" s="4">
        <f>-MAX($D$16-$A46,0)*$F$16</f>
        <v/>
      </c>
      <c r="G46" s="4">
        <f>$E$16*$F$16+F46</f>
        <v/>
      </c>
      <c r="H46" s="4">
        <f>$D$17</f>
        <v/>
      </c>
      <c r="I46" s="4">
        <f>$E$17</f>
        <v/>
      </c>
      <c r="J46" s="3">
        <f>IF($A46&lt;$D$17,"ITM",IF($A46=$D$17,"ATM","OTM"))</f>
        <v/>
      </c>
      <c r="K46" s="3">
        <f>IF($A46&lt;$D$17,"SI","NO")</f>
        <v/>
      </c>
      <c r="L46" s="4">
        <f>MAX($D$17-$A46,0)*$F$17</f>
        <v/>
      </c>
      <c r="M46" s="4">
        <f>L46-$E$17*$F$17</f>
        <v/>
      </c>
      <c r="N46" s="4">
        <f>F46+L46</f>
        <v/>
      </c>
      <c r="O46" s="4">
        <f>G46+M46</f>
        <v/>
      </c>
      <c r="P46" s="17">
        <f>O46*B7*B8</f>
        <v/>
      </c>
    </row>
    <row r="47">
      <c r="A47" s="4" t="n">
        <v>409.19</v>
      </c>
      <c r="B47" s="4">
        <f>$D$16</f>
        <v/>
      </c>
      <c r="C47" s="4">
        <f>$E$16</f>
        <v/>
      </c>
      <c r="D47" s="3">
        <f>IF($A47&lt;$D$16,"ITM",IF($A47=$D$16,"ATM","OTM"))</f>
        <v/>
      </c>
      <c r="E47" s="3">
        <f>IF($A47&lt;$D$16,"SI","NO")</f>
        <v/>
      </c>
      <c r="F47" s="4">
        <f>-MAX($D$16-$A47,0)*$F$16</f>
        <v/>
      </c>
      <c r="G47" s="4">
        <f>$E$16*$F$16+F47</f>
        <v/>
      </c>
      <c r="H47" s="4">
        <f>$D$17</f>
        <v/>
      </c>
      <c r="I47" s="4">
        <f>$E$17</f>
        <v/>
      </c>
      <c r="J47" s="3">
        <f>IF($A47&lt;$D$17,"ITM",IF($A47=$D$17,"ATM","OTM"))</f>
        <v/>
      </c>
      <c r="K47" s="3">
        <f>IF($A47&lt;$D$17,"SI","NO")</f>
        <v/>
      </c>
      <c r="L47" s="4">
        <f>MAX($D$17-$A47,0)*$F$17</f>
        <v/>
      </c>
      <c r="M47" s="4">
        <f>L47-$E$17*$F$17</f>
        <v/>
      </c>
      <c r="N47" s="4">
        <f>F47+L47</f>
        <v/>
      </c>
      <c r="O47" s="4">
        <f>G47+M47</f>
        <v/>
      </c>
      <c r="P47" s="17">
        <f>O47*B7*B8</f>
        <v/>
      </c>
    </row>
    <row r="48">
      <c r="A48" s="4" t="n">
        <v>412.15</v>
      </c>
      <c r="B48" s="4">
        <f>$D$16</f>
        <v/>
      </c>
      <c r="C48" s="4">
        <f>$E$16</f>
        <v/>
      </c>
      <c r="D48" s="3">
        <f>IF($A48&lt;$D$16,"ITM",IF($A48=$D$16,"ATM","OTM"))</f>
        <v/>
      </c>
      <c r="E48" s="3">
        <f>IF($A48&lt;$D$16,"SI","NO")</f>
        <v/>
      </c>
      <c r="F48" s="4">
        <f>-MAX($D$16-$A48,0)*$F$16</f>
        <v/>
      </c>
      <c r="G48" s="4">
        <f>$E$16*$F$16+F48</f>
        <v/>
      </c>
      <c r="H48" s="4">
        <f>$D$17</f>
        <v/>
      </c>
      <c r="I48" s="4">
        <f>$E$17</f>
        <v/>
      </c>
      <c r="J48" s="3">
        <f>IF($A48&lt;$D$17,"ITM",IF($A48=$D$17,"ATM","OTM"))</f>
        <v/>
      </c>
      <c r="K48" s="3">
        <f>IF($A48&lt;$D$17,"SI","NO")</f>
        <v/>
      </c>
      <c r="L48" s="4">
        <f>MAX($D$17-$A48,0)*$F$17</f>
        <v/>
      </c>
      <c r="M48" s="4">
        <f>L48-$E$17*$F$17</f>
        <v/>
      </c>
      <c r="N48" s="4">
        <f>F48+L48</f>
        <v/>
      </c>
      <c r="O48" s="4">
        <f>G48+M48</f>
        <v/>
      </c>
      <c r="P48" s="17">
        <f>O48*B7*B8</f>
        <v/>
      </c>
    </row>
    <row r="49">
      <c r="A49" s="4" t="n">
        <v>415.12</v>
      </c>
      <c r="B49" s="4">
        <f>$D$16</f>
        <v/>
      </c>
      <c r="C49" s="4">
        <f>$E$16</f>
        <v/>
      </c>
      <c r="D49" s="3">
        <f>IF($A49&lt;$D$16,"ITM",IF($A49=$D$16,"ATM","OTM"))</f>
        <v/>
      </c>
      <c r="E49" s="3">
        <f>IF($A49&lt;$D$16,"SI","NO")</f>
        <v/>
      </c>
      <c r="F49" s="4">
        <f>-MAX($D$16-$A49,0)*$F$16</f>
        <v/>
      </c>
      <c r="G49" s="4">
        <f>$E$16*$F$16+F49</f>
        <v/>
      </c>
      <c r="H49" s="4">
        <f>$D$17</f>
        <v/>
      </c>
      <c r="I49" s="4">
        <f>$E$17</f>
        <v/>
      </c>
      <c r="J49" s="3">
        <f>IF($A49&lt;$D$17,"ITM",IF($A49=$D$17,"ATM","OTM"))</f>
        <v/>
      </c>
      <c r="K49" s="3">
        <f>IF($A49&lt;$D$17,"SI","NO")</f>
        <v/>
      </c>
      <c r="L49" s="4">
        <f>MAX($D$17-$A49,0)*$F$17</f>
        <v/>
      </c>
      <c r="M49" s="4">
        <f>L49-$E$17*$F$17</f>
        <v/>
      </c>
      <c r="N49" s="4">
        <f>F49+L49</f>
        <v/>
      </c>
      <c r="O49" s="4">
        <f>G49+M49</f>
        <v/>
      </c>
      <c r="P49" s="17">
        <f>O49*B7*B8</f>
        <v/>
      </c>
    </row>
    <row r="51">
      <c r="A51" s="11" t="inlineStr">
        <is>
          <t>RESUMEN DE LA ESTRATEGIA</t>
        </is>
      </c>
    </row>
    <row r="52">
      <c r="A52" s="13" t="inlineStr">
        <is>
          <t>Break-even(s)</t>
        </is>
      </c>
      <c r="C52" t="inlineStr">
        <is>
          <t>383.37</t>
        </is>
      </c>
    </row>
    <row r="53">
      <c r="A53" s="13" t="inlineStr">
        <is>
          <t>Ganancia maxima (USD)</t>
        </is>
      </c>
      <c r="C53" s="15">
        <f>MAX(P24:P49)</f>
        <v/>
      </c>
    </row>
    <row r="54">
      <c r="A54" s="13" t="inlineStr">
        <is>
          <t>Perdida maxima (USD)</t>
        </is>
      </c>
      <c r="C54" s="15">
        <f>MIN(P24:P49)</f>
        <v/>
      </c>
    </row>
    <row r="55">
      <c r="A55" s="13" t="inlineStr">
        <is>
          <t>Prima neta total (USD)</t>
        </is>
      </c>
      <c r="C55" s="15">
        <f>E20</f>
        <v/>
      </c>
    </row>
    <row r="56">
      <c r="A56" s="13" t="inlineStr">
        <is>
          <t>Capital en riesgo (USD)</t>
        </is>
      </c>
      <c r="C56" t="n">
        <v>10080</v>
      </c>
    </row>
    <row r="58">
      <c r="A58" s="11" t="inlineStr">
        <is>
          <t>RESULTADO POR ESCENARIO (al vencimiento)</t>
        </is>
      </c>
    </row>
    <row r="59">
      <c r="A59" s="2" t="inlineStr">
        <is>
          <t>Escenario</t>
        </is>
      </c>
      <c r="B59" s="2" t="inlineStr">
        <is>
          <t>ST asumido</t>
        </is>
      </c>
      <c r="C59" s="2" t="inlineStr">
        <is>
          <t>GoP total (USD)</t>
        </is>
      </c>
      <c r="D59" s="2" t="inlineStr">
        <is>
          <t>Rent. s/ capital riesgo</t>
        </is>
      </c>
    </row>
    <row r="60">
      <c r="A60" s="3" t="inlineStr">
        <is>
          <t>Optimista</t>
        </is>
      </c>
      <c r="B60" s="4" t="n">
        <v>413.92</v>
      </c>
      <c r="C60" s="17" t="n">
        <v>4920</v>
      </c>
      <c r="D60" s="6" t="n">
        <v>0.4880952380952376</v>
      </c>
    </row>
    <row r="61">
      <c r="A61" s="3" t="inlineStr">
        <is>
          <t>Base</t>
        </is>
      </c>
      <c r="B61" s="4" t="n">
        <v>390.49</v>
      </c>
      <c r="C61" s="17" t="n">
        <v>4920</v>
      </c>
      <c r="D61" s="6" t="n">
        <v>0.4880952380952376</v>
      </c>
    </row>
    <row r="62">
      <c r="A62" s="3" t="inlineStr">
        <is>
          <t>Pesimista</t>
        </is>
      </c>
      <c r="B62" s="4" t="n">
        <v>367.06</v>
      </c>
      <c r="C62" s="16" t="n">
        <v>-10080</v>
      </c>
      <c r="D62" s="6" t="n">
        <v>-0.9999999999999994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AAPL — Bull Call Spread 310/322.5</t>
        </is>
      </c>
    </row>
    <row r="2">
      <c r="A2" s="12" t="inlineStr">
        <is>
          <t>Bull Call Spread  ·  Sesgo: Alcista  ·  Confianza: Media</t>
        </is>
      </c>
    </row>
    <row r="4">
      <c r="A4" s="11" t="inlineStr">
        <is>
          <t>PARAMETROS</t>
        </is>
      </c>
    </row>
    <row r="5">
      <c r="A5" s="13" t="inlineStr">
        <is>
          <t>Subyacente</t>
        </is>
      </c>
      <c r="B5" t="inlineStr">
        <is>
          <t>AAPL</t>
        </is>
      </c>
    </row>
    <row r="6">
      <c r="A6" s="13" t="inlineStr">
        <is>
          <t>Spot de entrada (2-jul-2026)</t>
        </is>
      </c>
      <c r="B6" t="n">
        <v>308.63</v>
      </c>
    </row>
    <row r="7">
      <c r="A7" s="13" t="inlineStr">
        <is>
          <t>Contratos</t>
        </is>
      </c>
      <c r="B7" t="n">
        <v>30</v>
      </c>
    </row>
    <row r="8">
      <c r="A8" s="13" t="inlineStr">
        <is>
          <t>Acciones por contrato</t>
        </is>
      </c>
      <c r="B8" t="n">
        <v>100</v>
      </c>
    </row>
    <row r="9">
      <c r="A9" s="13" t="inlineStr">
        <is>
          <t>Total de acciones</t>
        </is>
      </c>
      <c r="B9">
        <f>B7*B8</f>
        <v/>
      </c>
    </row>
    <row r="10">
      <c r="A10" s="13" t="inlineStr">
        <is>
          <t>Vencimiento</t>
        </is>
      </c>
      <c r="B10" t="inlineStr">
        <is>
          <t>2026-07-10</t>
        </is>
      </c>
    </row>
    <row r="11">
      <c r="A11" s="13" t="inlineStr">
        <is>
          <t>r (anual)</t>
        </is>
      </c>
      <c r="B11" t="n">
        <v>0.045</v>
      </c>
    </row>
    <row r="12">
      <c r="A12" s="13" t="inlineStr">
        <is>
          <t>T (anios)</t>
        </is>
      </c>
      <c r="B12" t="n">
        <v>0.0219</v>
      </c>
    </row>
    <row r="14">
      <c r="A14" s="11" t="inlineStr">
        <is>
          <t>PATAS DE LA ESTRATEGIA</t>
        </is>
      </c>
    </row>
    <row r="15">
      <c r="A15" s="2" t="inlineStr">
        <is>
          <t>Pata</t>
        </is>
      </c>
      <c r="B15" s="2" t="inlineStr">
        <is>
          <t>Tipo</t>
        </is>
      </c>
      <c r="C15" s="2" t="inlineStr">
        <is>
          <t>Lado</t>
        </is>
      </c>
      <c r="D15" s="2" t="inlineStr">
        <is>
          <t>Strike (K)</t>
        </is>
      </c>
      <c r="E15" s="2" t="inlineStr">
        <is>
          <t>Prima/accion</t>
        </is>
      </c>
      <c r="F15" s="2" t="inlineStr">
        <is>
          <t>Mult</t>
        </is>
      </c>
    </row>
    <row r="16">
      <c r="A16" s="3" t="inlineStr">
        <is>
          <t>P1</t>
        </is>
      </c>
      <c r="B16" s="3" t="inlineStr">
        <is>
          <t>CALL</t>
        </is>
      </c>
      <c r="C16" s="3" t="inlineStr">
        <is>
          <t>LONG</t>
        </is>
      </c>
      <c r="D16" s="3" t="n">
        <v>310</v>
      </c>
      <c r="E16" s="3" t="n">
        <v>3.95</v>
      </c>
      <c r="F16" s="3" t="n">
        <v>1</v>
      </c>
    </row>
    <row r="17">
      <c r="A17" s="3" t="inlineStr">
        <is>
          <t>P2</t>
        </is>
      </c>
      <c r="B17" s="3" t="inlineStr">
        <is>
          <t>CALL</t>
        </is>
      </c>
      <c r="C17" s="3" t="inlineStr">
        <is>
          <t>SHORT</t>
        </is>
      </c>
      <c r="D17" s="3" t="n">
        <v>322.5</v>
      </c>
      <c r="E17" s="3" t="n">
        <v>0.6899999999999999</v>
      </c>
      <c r="F17" s="3" t="n">
        <v>1</v>
      </c>
    </row>
    <row r="19">
      <c r="A19" s="13" t="inlineStr">
        <is>
          <t>Prima neta / accion (cred + / deb -)</t>
        </is>
      </c>
      <c r="E19" s="14">
        <f>-E16*F16+E17*F17</f>
        <v/>
      </c>
    </row>
    <row r="20">
      <c r="A20" s="13" t="inlineStr">
        <is>
          <t>Prima neta total (USD)</t>
        </is>
      </c>
      <c r="E20" s="15">
        <f>E19*B7*B8</f>
        <v/>
      </c>
    </row>
    <row r="22">
      <c r="A22" s="11" t="inlineStr">
        <is>
          <t>TABLA DE PAYOFF AL VENCIMIENTO</t>
        </is>
      </c>
    </row>
    <row r="23">
      <c r="A23" s="2" t="inlineStr">
        <is>
          <t>ST (Spot)</t>
        </is>
      </c>
      <c r="B23" s="2" t="inlineStr">
        <is>
          <t>P1 K</t>
        </is>
      </c>
      <c r="C23" s="2" t="inlineStr">
        <is>
          <t>P1 Prima</t>
        </is>
      </c>
      <c r="D23" s="2" t="inlineStr">
        <is>
          <t>P1 Moneyness</t>
        </is>
      </c>
      <c r="E23" s="2" t="inlineStr">
        <is>
          <t>P1 Ejerce</t>
        </is>
      </c>
      <c r="F23" s="2" t="inlineStr">
        <is>
          <t>P1 Payoff/acc</t>
        </is>
      </c>
      <c r="G23" s="2" t="inlineStr">
        <is>
          <t>P1 GoP/acc</t>
        </is>
      </c>
      <c r="H23" s="2" t="inlineStr">
        <is>
          <t>P2 K</t>
        </is>
      </c>
      <c r="I23" s="2" t="inlineStr">
        <is>
          <t>P2 Prima</t>
        </is>
      </c>
      <c r="J23" s="2" t="inlineStr">
        <is>
          <t>P2 Moneyness</t>
        </is>
      </c>
      <c r="K23" s="2" t="inlineStr">
        <is>
          <t>P2 Ejerce</t>
        </is>
      </c>
      <c r="L23" s="2" t="inlineStr">
        <is>
          <t>P2 Payoff/acc</t>
        </is>
      </c>
      <c r="M23" s="2" t="inlineStr">
        <is>
          <t>P2 GoP/acc</t>
        </is>
      </c>
      <c r="N23" s="2" t="inlineStr">
        <is>
          <t>Payoff neto/acc</t>
        </is>
      </c>
      <c r="O23" s="2" t="inlineStr">
        <is>
          <t>GoP neto/acc</t>
        </is>
      </c>
      <c r="P23" s="2" t="inlineStr">
        <is>
          <t>GoP TOTAL (USD)</t>
        </is>
      </c>
    </row>
    <row r="24">
      <c r="A24" s="4" t="n">
        <v>285.78</v>
      </c>
      <c r="B24" s="4">
        <f>$D$16</f>
        <v/>
      </c>
      <c r="C24" s="4">
        <f>$E$16</f>
        <v/>
      </c>
      <c r="D24" s="3">
        <f>IF($A24&gt;$D$16,"ITM",IF($A24=$D$16,"ATM","OTM"))</f>
        <v/>
      </c>
      <c r="E24" s="3">
        <f>IF($A24&gt;$D$16,"SI","NO")</f>
        <v/>
      </c>
      <c r="F24" s="4">
        <f>MAX($A24-$D$16,0)*$F$16</f>
        <v/>
      </c>
      <c r="G24" s="4">
        <f>F24-$E$16*$F$16</f>
        <v/>
      </c>
      <c r="H24" s="4">
        <f>$D$17</f>
        <v/>
      </c>
      <c r="I24" s="4">
        <f>$E$17</f>
        <v/>
      </c>
      <c r="J24" s="3">
        <f>IF($A24&gt;$D$17,"ITM",IF($A24=$D$17,"ATM","OTM"))</f>
        <v/>
      </c>
      <c r="K24" s="3">
        <f>IF($A24&gt;$D$17,"SI","NO")</f>
        <v/>
      </c>
      <c r="L24" s="4">
        <f>-MAX($A24-$D$17,0)*$F$17</f>
        <v/>
      </c>
      <c r="M24" s="4">
        <f>$E$17*$F$17+L24</f>
        <v/>
      </c>
      <c r="N24" s="4">
        <f>F24+L24</f>
        <v/>
      </c>
      <c r="O24" s="4">
        <f>G24+M24</f>
        <v/>
      </c>
      <c r="P24" s="16">
        <f>O24*B7*B8</f>
        <v/>
      </c>
    </row>
    <row r="25">
      <c r="A25" s="4" t="n">
        <v>288.55</v>
      </c>
      <c r="B25" s="4">
        <f>$D$16</f>
        <v/>
      </c>
      <c r="C25" s="4">
        <f>$E$16</f>
        <v/>
      </c>
      <c r="D25" s="3">
        <f>IF($A25&gt;$D$16,"ITM",IF($A25=$D$16,"ATM","OTM"))</f>
        <v/>
      </c>
      <c r="E25" s="3">
        <f>IF($A25&gt;$D$16,"SI","NO")</f>
        <v/>
      </c>
      <c r="F25" s="4">
        <f>MAX($A25-$D$16,0)*$F$16</f>
        <v/>
      </c>
      <c r="G25" s="4">
        <f>F25-$E$16*$F$16</f>
        <v/>
      </c>
      <c r="H25" s="4">
        <f>$D$17</f>
        <v/>
      </c>
      <c r="I25" s="4">
        <f>$E$17</f>
        <v/>
      </c>
      <c r="J25" s="3">
        <f>IF($A25&gt;$D$17,"ITM",IF($A25=$D$17,"ATM","OTM"))</f>
        <v/>
      </c>
      <c r="K25" s="3">
        <f>IF($A25&gt;$D$17,"SI","NO")</f>
        <v/>
      </c>
      <c r="L25" s="4">
        <f>-MAX($A25-$D$17,0)*$F$17</f>
        <v/>
      </c>
      <c r="M25" s="4">
        <f>$E$17*$F$17+L25</f>
        <v/>
      </c>
      <c r="N25" s="4">
        <f>F25+L25</f>
        <v/>
      </c>
      <c r="O25" s="4">
        <f>G25+M25</f>
        <v/>
      </c>
      <c r="P25" s="16">
        <f>O25*B7*B8</f>
        <v/>
      </c>
    </row>
    <row r="26">
      <c r="A26" s="4" t="n">
        <v>291.32</v>
      </c>
      <c r="B26" s="4">
        <f>$D$16</f>
        <v/>
      </c>
      <c r="C26" s="4">
        <f>$E$16</f>
        <v/>
      </c>
      <c r="D26" s="3">
        <f>IF($A26&gt;$D$16,"ITM",IF($A26=$D$16,"ATM","OTM"))</f>
        <v/>
      </c>
      <c r="E26" s="3">
        <f>IF($A26&gt;$D$16,"SI","NO")</f>
        <v/>
      </c>
      <c r="F26" s="4">
        <f>MAX($A26-$D$16,0)*$F$16</f>
        <v/>
      </c>
      <c r="G26" s="4">
        <f>F26-$E$16*$F$16</f>
        <v/>
      </c>
      <c r="H26" s="4">
        <f>$D$17</f>
        <v/>
      </c>
      <c r="I26" s="4">
        <f>$E$17</f>
        <v/>
      </c>
      <c r="J26" s="3">
        <f>IF($A26&gt;$D$17,"ITM",IF($A26=$D$17,"ATM","OTM"))</f>
        <v/>
      </c>
      <c r="K26" s="3">
        <f>IF($A26&gt;$D$17,"SI","NO")</f>
        <v/>
      </c>
      <c r="L26" s="4">
        <f>-MAX($A26-$D$17,0)*$F$17</f>
        <v/>
      </c>
      <c r="M26" s="4">
        <f>$E$17*$F$17+L26</f>
        <v/>
      </c>
      <c r="N26" s="4">
        <f>F26+L26</f>
        <v/>
      </c>
      <c r="O26" s="4">
        <f>G26+M26</f>
        <v/>
      </c>
      <c r="P26" s="16">
        <f>O26*B7*B8</f>
        <v/>
      </c>
    </row>
    <row r="27">
      <c r="A27" s="4" t="n">
        <v>294.09</v>
      </c>
      <c r="B27" s="4">
        <f>$D$16</f>
        <v/>
      </c>
      <c r="C27" s="4">
        <f>$E$16</f>
        <v/>
      </c>
      <c r="D27" s="3">
        <f>IF($A27&gt;$D$16,"ITM",IF($A27=$D$16,"ATM","OTM"))</f>
        <v/>
      </c>
      <c r="E27" s="3">
        <f>IF($A27&gt;$D$16,"SI","NO")</f>
        <v/>
      </c>
      <c r="F27" s="4">
        <f>MAX($A27-$D$16,0)*$F$16</f>
        <v/>
      </c>
      <c r="G27" s="4">
        <f>F27-$E$16*$F$16</f>
        <v/>
      </c>
      <c r="H27" s="4">
        <f>$D$17</f>
        <v/>
      </c>
      <c r="I27" s="4">
        <f>$E$17</f>
        <v/>
      </c>
      <c r="J27" s="3">
        <f>IF($A27&gt;$D$17,"ITM",IF($A27=$D$17,"ATM","OTM"))</f>
        <v/>
      </c>
      <c r="K27" s="3">
        <f>IF($A27&gt;$D$17,"SI","NO")</f>
        <v/>
      </c>
      <c r="L27" s="4">
        <f>-MAX($A27-$D$17,0)*$F$17</f>
        <v/>
      </c>
      <c r="M27" s="4">
        <f>$E$17*$F$17+L27</f>
        <v/>
      </c>
      <c r="N27" s="4">
        <f>F27+L27</f>
        <v/>
      </c>
      <c r="O27" s="4">
        <f>G27+M27</f>
        <v/>
      </c>
      <c r="P27" s="16">
        <f>O27*B7*B8</f>
        <v/>
      </c>
    </row>
    <row r="28">
      <c r="A28" s="4" t="n">
        <v>296.86</v>
      </c>
      <c r="B28" s="4">
        <f>$D$16</f>
        <v/>
      </c>
      <c r="C28" s="4">
        <f>$E$16</f>
        <v/>
      </c>
      <c r="D28" s="3">
        <f>IF($A28&gt;$D$16,"ITM",IF($A28=$D$16,"ATM","OTM"))</f>
        <v/>
      </c>
      <c r="E28" s="3">
        <f>IF($A28&gt;$D$16,"SI","NO")</f>
        <v/>
      </c>
      <c r="F28" s="4">
        <f>MAX($A28-$D$16,0)*$F$16</f>
        <v/>
      </c>
      <c r="G28" s="4">
        <f>F28-$E$16*$F$16</f>
        <v/>
      </c>
      <c r="H28" s="4">
        <f>$D$17</f>
        <v/>
      </c>
      <c r="I28" s="4">
        <f>$E$17</f>
        <v/>
      </c>
      <c r="J28" s="3">
        <f>IF($A28&gt;$D$17,"ITM",IF($A28=$D$17,"ATM","OTM"))</f>
        <v/>
      </c>
      <c r="K28" s="3">
        <f>IF($A28&gt;$D$17,"SI","NO")</f>
        <v/>
      </c>
      <c r="L28" s="4">
        <f>-MAX($A28-$D$17,0)*$F$17</f>
        <v/>
      </c>
      <c r="M28" s="4">
        <f>$E$17*$F$17+L28</f>
        <v/>
      </c>
      <c r="N28" s="4">
        <f>F28+L28</f>
        <v/>
      </c>
      <c r="O28" s="4">
        <f>G28+M28</f>
        <v/>
      </c>
      <c r="P28" s="16">
        <f>O28*B7*B8</f>
        <v/>
      </c>
    </row>
    <row r="29">
      <c r="A29" s="4" t="n">
        <v>299.63</v>
      </c>
      <c r="B29" s="4">
        <f>$D$16</f>
        <v/>
      </c>
      <c r="C29" s="4">
        <f>$E$16</f>
        <v/>
      </c>
      <c r="D29" s="3">
        <f>IF($A29&gt;$D$16,"ITM",IF($A29=$D$16,"ATM","OTM"))</f>
        <v/>
      </c>
      <c r="E29" s="3">
        <f>IF($A29&gt;$D$16,"SI","NO")</f>
        <v/>
      </c>
      <c r="F29" s="4">
        <f>MAX($A29-$D$16,0)*$F$16</f>
        <v/>
      </c>
      <c r="G29" s="4">
        <f>F29-$E$16*$F$16</f>
        <v/>
      </c>
      <c r="H29" s="4">
        <f>$D$17</f>
        <v/>
      </c>
      <c r="I29" s="4">
        <f>$E$17</f>
        <v/>
      </c>
      <c r="J29" s="3">
        <f>IF($A29&gt;$D$17,"ITM",IF($A29=$D$17,"ATM","OTM"))</f>
        <v/>
      </c>
      <c r="K29" s="3">
        <f>IF($A29&gt;$D$17,"SI","NO")</f>
        <v/>
      </c>
      <c r="L29" s="4">
        <f>-MAX($A29-$D$17,0)*$F$17</f>
        <v/>
      </c>
      <c r="M29" s="4">
        <f>$E$17*$F$17+L29</f>
        <v/>
      </c>
      <c r="N29" s="4">
        <f>F29+L29</f>
        <v/>
      </c>
      <c r="O29" s="4">
        <f>G29+M29</f>
        <v/>
      </c>
      <c r="P29" s="16">
        <f>O29*B7*B8</f>
        <v/>
      </c>
    </row>
    <row r="30">
      <c r="A30" s="4" t="n">
        <v>302.4</v>
      </c>
      <c r="B30" s="4">
        <f>$D$16</f>
        <v/>
      </c>
      <c r="C30" s="4">
        <f>$E$16</f>
        <v/>
      </c>
      <c r="D30" s="3">
        <f>IF($A30&gt;$D$16,"ITM",IF($A30=$D$16,"ATM","OTM"))</f>
        <v/>
      </c>
      <c r="E30" s="3">
        <f>IF($A30&gt;$D$16,"SI","NO")</f>
        <v/>
      </c>
      <c r="F30" s="4">
        <f>MAX($A30-$D$16,0)*$F$16</f>
        <v/>
      </c>
      <c r="G30" s="4">
        <f>F30-$E$16*$F$16</f>
        <v/>
      </c>
      <c r="H30" s="4">
        <f>$D$17</f>
        <v/>
      </c>
      <c r="I30" s="4">
        <f>$E$17</f>
        <v/>
      </c>
      <c r="J30" s="3">
        <f>IF($A30&gt;$D$17,"ITM",IF($A30=$D$17,"ATM","OTM"))</f>
        <v/>
      </c>
      <c r="K30" s="3">
        <f>IF($A30&gt;$D$17,"SI","NO")</f>
        <v/>
      </c>
      <c r="L30" s="4">
        <f>-MAX($A30-$D$17,0)*$F$17</f>
        <v/>
      </c>
      <c r="M30" s="4">
        <f>$E$17*$F$17+L30</f>
        <v/>
      </c>
      <c r="N30" s="4">
        <f>F30+L30</f>
        <v/>
      </c>
      <c r="O30" s="4">
        <f>G30+M30</f>
        <v/>
      </c>
      <c r="P30" s="16">
        <f>O30*B7*B8</f>
        <v/>
      </c>
    </row>
    <row r="31">
      <c r="A31" s="4" t="n">
        <v>305.17</v>
      </c>
      <c r="B31" s="4">
        <f>$D$16</f>
        <v/>
      </c>
      <c r="C31" s="4">
        <f>$E$16</f>
        <v/>
      </c>
      <c r="D31" s="3">
        <f>IF($A31&gt;$D$16,"ITM",IF($A31=$D$16,"ATM","OTM"))</f>
        <v/>
      </c>
      <c r="E31" s="3">
        <f>IF($A31&gt;$D$16,"SI","NO")</f>
        <v/>
      </c>
      <c r="F31" s="4">
        <f>MAX($A31-$D$16,0)*$F$16</f>
        <v/>
      </c>
      <c r="G31" s="4">
        <f>F31-$E$16*$F$16</f>
        <v/>
      </c>
      <c r="H31" s="4">
        <f>$D$17</f>
        <v/>
      </c>
      <c r="I31" s="4">
        <f>$E$17</f>
        <v/>
      </c>
      <c r="J31" s="3">
        <f>IF($A31&gt;$D$17,"ITM",IF($A31=$D$17,"ATM","OTM"))</f>
        <v/>
      </c>
      <c r="K31" s="3">
        <f>IF($A31&gt;$D$17,"SI","NO")</f>
        <v/>
      </c>
      <c r="L31" s="4">
        <f>-MAX($A31-$D$17,0)*$F$17</f>
        <v/>
      </c>
      <c r="M31" s="4">
        <f>$E$17*$F$17+L31</f>
        <v/>
      </c>
      <c r="N31" s="4">
        <f>F31+L31</f>
        <v/>
      </c>
      <c r="O31" s="4">
        <f>G31+M31</f>
        <v/>
      </c>
      <c r="P31" s="16">
        <f>O31*B7*B8</f>
        <v/>
      </c>
    </row>
    <row r="32">
      <c r="A32" s="4" t="n">
        <v>307.94</v>
      </c>
      <c r="B32" s="4">
        <f>$D$16</f>
        <v/>
      </c>
      <c r="C32" s="4">
        <f>$E$16</f>
        <v/>
      </c>
      <c r="D32" s="3">
        <f>IF($A32&gt;$D$16,"ITM",IF($A32=$D$16,"ATM","OTM"))</f>
        <v/>
      </c>
      <c r="E32" s="3">
        <f>IF($A32&gt;$D$16,"SI","NO")</f>
        <v/>
      </c>
      <c r="F32" s="4">
        <f>MAX($A32-$D$16,0)*$F$16</f>
        <v/>
      </c>
      <c r="G32" s="4">
        <f>F32-$E$16*$F$16</f>
        <v/>
      </c>
      <c r="H32" s="4">
        <f>$D$17</f>
        <v/>
      </c>
      <c r="I32" s="4">
        <f>$E$17</f>
        <v/>
      </c>
      <c r="J32" s="3">
        <f>IF($A32&gt;$D$17,"ITM",IF($A32=$D$17,"ATM","OTM"))</f>
        <v/>
      </c>
      <c r="K32" s="3">
        <f>IF($A32&gt;$D$17,"SI","NO")</f>
        <v/>
      </c>
      <c r="L32" s="4">
        <f>-MAX($A32-$D$17,0)*$F$17</f>
        <v/>
      </c>
      <c r="M32" s="4">
        <f>$E$17*$F$17+L32</f>
        <v/>
      </c>
      <c r="N32" s="4">
        <f>F32+L32</f>
        <v/>
      </c>
      <c r="O32" s="4">
        <f>G32+M32</f>
        <v/>
      </c>
      <c r="P32" s="16">
        <f>O32*B7*B8</f>
        <v/>
      </c>
    </row>
    <row r="33">
      <c r="A33" s="4" t="n">
        <v>308.63</v>
      </c>
      <c r="B33" s="4">
        <f>$D$16</f>
        <v/>
      </c>
      <c r="C33" s="4">
        <f>$E$16</f>
        <v/>
      </c>
      <c r="D33" s="3">
        <f>IF($A33&gt;$D$16,"ITM",IF($A33=$D$16,"ATM","OTM"))</f>
        <v/>
      </c>
      <c r="E33" s="3">
        <f>IF($A33&gt;$D$16,"SI","NO")</f>
        <v/>
      </c>
      <c r="F33" s="4">
        <f>MAX($A33-$D$16,0)*$F$16</f>
        <v/>
      </c>
      <c r="G33" s="4">
        <f>F33-$E$16*$F$16</f>
        <v/>
      </c>
      <c r="H33" s="4">
        <f>$D$17</f>
        <v/>
      </c>
      <c r="I33" s="4">
        <f>$E$17</f>
        <v/>
      </c>
      <c r="J33" s="3">
        <f>IF($A33&gt;$D$17,"ITM",IF($A33=$D$17,"ATM","OTM"))</f>
        <v/>
      </c>
      <c r="K33" s="3">
        <f>IF($A33&gt;$D$17,"SI","NO")</f>
        <v/>
      </c>
      <c r="L33" s="4">
        <f>-MAX($A33-$D$17,0)*$F$17</f>
        <v/>
      </c>
      <c r="M33" s="4">
        <f>$E$17*$F$17+L33</f>
        <v/>
      </c>
      <c r="N33" s="4">
        <f>F33+L33</f>
        <v/>
      </c>
      <c r="O33" s="4">
        <f>G33+M33</f>
        <v/>
      </c>
      <c r="P33" s="16">
        <f>O33*B7*B8</f>
        <v/>
      </c>
    </row>
    <row r="34">
      <c r="A34" s="4" t="n">
        <v>310</v>
      </c>
      <c r="B34" s="4">
        <f>$D$16</f>
        <v/>
      </c>
      <c r="C34" s="4">
        <f>$E$16</f>
        <v/>
      </c>
      <c r="D34" s="3">
        <f>IF($A34&gt;$D$16,"ITM",IF($A34=$D$16,"ATM","OTM"))</f>
        <v/>
      </c>
      <c r="E34" s="3">
        <f>IF($A34&gt;$D$16,"SI","NO")</f>
        <v/>
      </c>
      <c r="F34" s="4">
        <f>MAX($A34-$D$16,0)*$F$16</f>
        <v/>
      </c>
      <c r="G34" s="4">
        <f>F34-$E$16*$F$16</f>
        <v/>
      </c>
      <c r="H34" s="4">
        <f>$D$17</f>
        <v/>
      </c>
      <c r="I34" s="4">
        <f>$E$17</f>
        <v/>
      </c>
      <c r="J34" s="3">
        <f>IF($A34&gt;$D$17,"ITM",IF($A34=$D$17,"ATM","OTM"))</f>
        <v/>
      </c>
      <c r="K34" s="3">
        <f>IF($A34&gt;$D$17,"SI","NO")</f>
        <v/>
      </c>
      <c r="L34" s="4">
        <f>-MAX($A34-$D$17,0)*$F$17</f>
        <v/>
      </c>
      <c r="M34" s="4">
        <f>$E$17*$F$17+L34</f>
        <v/>
      </c>
      <c r="N34" s="4">
        <f>F34+L34</f>
        <v/>
      </c>
      <c r="O34" s="4">
        <f>G34+M34</f>
        <v/>
      </c>
      <c r="P34" s="16">
        <f>O34*B7*B8</f>
        <v/>
      </c>
    </row>
    <row r="35">
      <c r="A35" s="4" t="n">
        <v>310.71</v>
      </c>
      <c r="B35" s="4">
        <f>$D$16</f>
        <v/>
      </c>
      <c r="C35" s="4">
        <f>$E$16</f>
        <v/>
      </c>
      <c r="D35" s="3">
        <f>IF($A35&gt;$D$16,"ITM",IF($A35=$D$16,"ATM","OTM"))</f>
        <v/>
      </c>
      <c r="E35" s="3">
        <f>IF($A35&gt;$D$16,"SI","NO")</f>
        <v/>
      </c>
      <c r="F35" s="4">
        <f>MAX($A35-$D$16,0)*$F$16</f>
        <v/>
      </c>
      <c r="G35" s="4">
        <f>F35-$E$16*$F$16</f>
        <v/>
      </c>
      <c r="H35" s="4">
        <f>$D$17</f>
        <v/>
      </c>
      <c r="I35" s="4">
        <f>$E$17</f>
        <v/>
      </c>
      <c r="J35" s="3">
        <f>IF($A35&gt;$D$17,"ITM",IF($A35=$D$17,"ATM","OTM"))</f>
        <v/>
      </c>
      <c r="K35" s="3">
        <f>IF($A35&gt;$D$17,"SI","NO")</f>
        <v/>
      </c>
      <c r="L35" s="4">
        <f>-MAX($A35-$D$17,0)*$F$17</f>
        <v/>
      </c>
      <c r="M35" s="4">
        <f>$E$17*$F$17+L35</f>
        <v/>
      </c>
      <c r="N35" s="4">
        <f>F35+L35</f>
        <v/>
      </c>
      <c r="O35" s="4">
        <f>G35+M35</f>
        <v/>
      </c>
      <c r="P35" s="16">
        <f>O35*B7*B8</f>
        <v/>
      </c>
    </row>
    <row r="36">
      <c r="A36" s="4" t="n">
        <v>313.48</v>
      </c>
      <c r="B36" s="4">
        <f>$D$16</f>
        <v/>
      </c>
      <c r="C36" s="4">
        <f>$E$16</f>
        <v/>
      </c>
      <c r="D36" s="3">
        <f>IF($A36&gt;$D$16,"ITM",IF($A36=$D$16,"ATM","OTM"))</f>
        <v/>
      </c>
      <c r="E36" s="3">
        <f>IF($A36&gt;$D$16,"SI","NO")</f>
        <v/>
      </c>
      <c r="F36" s="4">
        <f>MAX($A36-$D$16,0)*$F$16</f>
        <v/>
      </c>
      <c r="G36" s="4">
        <f>F36-$E$16*$F$16</f>
        <v/>
      </c>
      <c r="H36" s="4">
        <f>$D$17</f>
        <v/>
      </c>
      <c r="I36" s="4">
        <f>$E$17</f>
        <v/>
      </c>
      <c r="J36" s="3">
        <f>IF($A36&gt;$D$17,"ITM",IF($A36=$D$17,"ATM","OTM"))</f>
        <v/>
      </c>
      <c r="K36" s="3">
        <f>IF($A36&gt;$D$17,"SI","NO")</f>
        <v/>
      </c>
      <c r="L36" s="4">
        <f>-MAX($A36-$D$17,0)*$F$17</f>
        <v/>
      </c>
      <c r="M36" s="4">
        <f>$E$17*$F$17+L36</f>
        <v/>
      </c>
      <c r="N36" s="4">
        <f>F36+L36</f>
        <v/>
      </c>
      <c r="O36" s="4">
        <f>G36+M36</f>
        <v/>
      </c>
      <c r="P36" s="17">
        <f>O36*B7*B8</f>
        <v/>
      </c>
    </row>
    <row r="37">
      <c r="A37" s="4" t="n">
        <v>316.25</v>
      </c>
      <c r="B37" s="4">
        <f>$D$16</f>
        <v/>
      </c>
      <c r="C37" s="4">
        <f>$E$16</f>
        <v/>
      </c>
      <c r="D37" s="3">
        <f>IF($A37&gt;$D$16,"ITM",IF($A37=$D$16,"ATM","OTM"))</f>
        <v/>
      </c>
      <c r="E37" s="3">
        <f>IF($A37&gt;$D$16,"SI","NO")</f>
        <v/>
      </c>
      <c r="F37" s="4">
        <f>MAX($A37-$D$16,0)*$F$16</f>
        <v/>
      </c>
      <c r="G37" s="4">
        <f>F37-$E$16*$F$16</f>
        <v/>
      </c>
      <c r="H37" s="4">
        <f>$D$17</f>
        <v/>
      </c>
      <c r="I37" s="4">
        <f>$E$17</f>
        <v/>
      </c>
      <c r="J37" s="3">
        <f>IF($A37&gt;$D$17,"ITM",IF($A37=$D$17,"ATM","OTM"))</f>
        <v/>
      </c>
      <c r="K37" s="3">
        <f>IF($A37&gt;$D$17,"SI","NO")</f>
        <v/>
      </c>
      <c r="L37" s="4">
        <f>-MAX($A37-$D$17,0)*$F$17</f>
        <v/>
      </c>
      <c r="M37" s="4">
        <f>$E$17*$F$17+L37</f>
        <v/>
      </c>
      <c r="N37" s="4">
        <f>F37+L37</f>
        <v/>
      </c>
      <c r="O37" s="4">
        <f>G37+M37</f>
        <v/>
      </c>
      <c r="P37" s="17">
        <f>O37*B7*B8</f>
        <v/>
      </c>
    </row>
    <row r="38">
      <c r="A38" s="4" t="n">
        <v>319.02</v>
      </c>
      <c r="B38" s="4">
        <f>$D$16</f>
        <v/>
      </c>
      <c r="C38" s="4">
        <f>$E$16</f>
        <v/>
      </c>
      <c r="D38" s="3">
        <f>IF($A38&gt;$D$16,"ITM",IF($A38=$D$16,"ATM","OTM"))</f>
        <v/>
      </c>
      <c r="E38" s="3">
        <f>IF($A38&gt;$D$16,"SI","NO")</f>
        <v/>
      </c>
      <c r="F38" s="4">
        <f>MAX($A38-$D$16,0)*$F$16</f>
        <v/>
      </c>
      <c r="G38" s="4">
        <f>F38-$E$16*$F$16</f>
        <v/>
      </c>
      <c r="H38" s="4">
        <f>$D$17</f>
        <v/>
      </c>
      <c r="I38" s="4">
        <f>$E$17</f>
        <v/>
      </c>
      <c r="J38" s="3">
        <f>IF($A38&gt;$D$17,"ITM",IF($A38=$D$17,"ATM","OTM"))</f>
        <v/>
      </c>
      <c r="K38" s="3">
        <f>IF($A38&gt;$D$17,"SI","NO")</f>
        <v/>
      </c>
      <c r="L38" s="4">
        <f>-MAX($A38-$D$17,0)*$F$17</f>
        <v/>
      </c>
      <c r="M38" s="4">
        <f>$E$17*$F$17+L38</f>
        <v/>
      </c>
      <c r="N38" s="4">
        <f>F38+L38</f>
        <v/>
      </c>
      <c r="O38" s="4">
        <f>G38+M38</f>
        <v/>
      </c>
      <c r="P38" s="17">
        <f>O38*B7*B8</f>
        <v/>
      </c>
    </row>
    <row r="39">
      <c r="A39" s="4" t="n">
        <v>321.79</v>
      </c>
      <c r="B39" s="4">
        <f>$D$16</f>
        <v/>
      </c>
      <c r="C39" s="4">
        <f>$E$16</f>
        <v/>
      </c>
      <c r="D39" s="3">
        <f>IF($A39&gt;$D$16,"ITM",IF($A39=$D$16,"ATM","OTM"))</f>
        <v/>
      </c>
      <c r="E39" s="3">
        <f>IF($A39&gt;$D$16,"SI","NO")</f>
        <v/>
      </c>
      <c r="F39" s="4">
        <f>MAX($A39-$D$16,0)*$F$16</f>
        <v/>
      </c>
      <c r="G39" s="4">
        <f>F39-$E$16*$F$16</f>
        <v/>
      </c>
      <c r="H39" s="4">
        <f>$D$17</f>
        <v/>
      </c>
      <c r="I39" s="4">
        <f>$E$17</f>
        <v/>
      </c>
      <c r="J39" s="3">
        <f>IF($A39&gt;$D$17,"ITM",IF($A39=$D$17,"ATM","OTM"))</f>
        <v/>
      </c>
      <c r="K39" s="3">
        <f>IF($A39&gt;$D$17,"SI","NO")</f>
        <v/>
      </c>
      <c r="L39" s="4">
        <f>-MAX($A39-$D$17,0)*$F$17</f>
        <v/>
      </c>
      <c r="M39" s="4">
        <f>$E$17*$F$17+L39</f>
        <v/>
      </c>
      <c r="N39" s="4">
        <f>F39+L39</f>
        <v/>
      </c>
      <c r="O39" s="4">
        <f>G39+M39</f>
        <v/>
      </c>
      <c r="P39" s="17">
        <f>O39*B7*B8</f>
        <v/>
      </c>
    </row>
    <row r="40">
      <c r="A40" s="4" t="n">
        <v>322.5</v>
      </c>
      <c r="B40" s="4">
        <f>$D$16</f>
        <v/>
      </c>
      <c r="C40" s="4">
        <f>$E$16</f>
        <v/>
      </c>
      <c r="D40" s="3">
        <f>IF($A40&gt;$D$16,"ITM",IF($A40=$D$16,"ATM","OTM"))</f>
        <v/>
      </c>
      <c r="E40" s="3">
        <f>IF($A40&gt;$D$16,"SI","NO")</f>
        <v/>
      </c>
      <c r="F40" s="4">
        <f>MAX($A40-$D$16,0)*$F$16</f>
        <v/>
      </c>
      <c r="G40" s="4">
        <f>F40-$E$16*$F$16</f>
        <v/>
      </c>
      <c r="H40" s="4">
        <f>$D$17</f>
        <v/>
      </c>
      <c r="I40" s="4">
        <f>$E$17</f>
        <v/>
      </c>
      <c r="J40" s="3">
        <f>IF($A40&gt;$D$17,"ITM",IF($A40=$D$17,"ATM","OTM"))</f>
        <v/>
      </c>
      <c r="K40" s="3">
        <f>IF($A40&gt;$D$17,"SI","NO")</f>
        <v/>
      </c>
      <c r="L40" s="4">
        <f>-MAX($A40-$D$17,0)*$F$17</f>
        <v/>
      </c>
      <c r="M40" s="4">
        <f>$E$17*$F$17+L40</f>
        <v/>
      </c>
      <c r="N40" s="4">
        <f>F40+L40</f>
        <v/>
      </c>
      <c r="O40" s="4">
        <f>G40+M40</f>
        <v/>
      </c>
      <c r="P40" s="17">
        <f>O40*B7*B8</f>
        <v/>
      </c>
    </row>
    <row r="41">
      <c r="A41" s="4" t="n">
        <v>324.56</v>
      </c>
      <c r="B41" s="4">
        <f>$D$16</f>
        <v/>
      </c>
      <c r="C41" s="4">
        <f>$E$16</f>
        <v/>
      </c>
      <c r="D41" s="3">
        <f>IF($A41&gt;$D$16,"ITM",IF($A41=$D$16,"ATM","OTM"))</f>
        <v/>
      </c>
      <c r="E41" s="3">
        <f>IF($A41&gt;$D$16,"SI","NO")</f>
        <v/>
      </c>
      <c r="F41" s="4">
        <f>MAX($A41-$D$16,0)*$F$16</f>
        <v/>
      </c>
      <c r="G41" s="4">
        <f>F41-$E$16*$F$16</f>
        <v/>
      </c>
      <c r="H41" s="4">
        <f>$D$17</f>
        <v/>
      </c>
      <c r="I41" s="4">
        <f>$E$17</f>
        <v/>
      </c>
      <c r="J41" s="3">
        <f>IF($A41&gt;$D$17,"ITM",IF($A41=$D$17,"ATM","OTM"))</f>
        <v/>
      </c>
      <c r="K41" s="3">
        <f>IF($A41&gt;$D$17,"SI","NO")</f>
        <v/>
      </c>
      <c r="L41" s="4">
        <f>-MAX($A41-$D$17,0)*$F$17</f>
        <v/>
      </c>
      <c r="M41" s="4">
        <f>$E$17*$F$17+L41</f>
        <v/>
      </c>
      <c r="N41" s="4">
        <f>F41+L41</f>
        <v/>
      </c>
      <c r="O41" s="4">
        <f>G41+M41</f>
        <v/>
      </c>
      <c r="P41" s="17">
        <f>O41*B7*B8</f>
        <v/>
      </c>
    </row>
    <row r="42">
      <c r="A42" s="4" t="n">
        <v>327.33</v>
      </c>
      <c r="B42" s="4">
        <f>$D$16</f>
        <v/>
      </c>
      <c r="C42" s="4">
        <f>$E$16</f>
        <v/>
      </c>
      <c r="D42" s="3">
        <f>IF($A42&gt;$D$16,"ITM",IF($A42=$D$16,"ATM","OTM"))</f>
        <v/>
      </c>
      <c r="E42" s="3">
        <f>IF($A42&gt;$D$16,"SI","NO")</f>
        <v/>
      </c>
      <c r="F42" s="4">
        <f>MAX($A42-$D$16,0)*$F$16</f>
        <v/>
      </c>
      <c r="G42" s="4">
        <f>F42-$E$16*$F$16</f>
        <v/>
      </c>
      <c r="H42" s="4">
        <f>$D$17</f>
        <v/>
      </c>
      <c r="I42" s="4">
        <f>$E$17</f>
        <v/>
      </c>
      <c r="J42" s="3">
        <f>IF($A42&gt;$D$17,"ITM",IF($A42=$D$17,"ATM","OTM"))</f>
        <v/>
      </c>
      <c r="K42" s="3">
        <f>IF($A42&gt;$D$17,"SI","NO")</f>
        <v/>
      </c>
      <c r="L42" s="4">
        <f>-MAX($A42-$D$17,0)*$F$17</f>
        <v/>
      </c>
      <c r="M42" s="4">
        <f>$E$17*$F$17+L42</f>
        <v/>
      </c>
      <c r="N42" s="4">
        <f>F42+L42</f>
        <v/>
      </c>
      <c r="O42" s="4">
        <f>G42+M42</f>
        <v/>
      </c>
      <c r="P42" s="17">
        <f>O42*B7*B8</f>
        <v/>
      </c>
    </row>
    <row r="43">
      <c r="A43" s="4" t="n">
        <v>330.1</v>
      </c>
      <c r="B43" s="4">
        <f>$D$16</f>
        <v/>
      </c>
      <c r="C43" s="4">
        <f>$E$16</f>
        <v/>
      </c>
      <c r="D43" s="3">
        <f>IF($A43&gt;$D$16,"ITM",IF($A43=$D$16,"ATM","OTM"))</f>
        <v/>
      </c>
      <c r="E43" s="3">
        <f>IF($A43&gt;$D$16,"SI","NO")</f>
        <v/>
      </c>
      <c r="F43" s="4">
        <f>MAX($A43-$D$16,0)*$F$16</f>
        <v/>
      </c>
      <c r="G43" s="4">
        <f>F43-$E$16*$F$16</f>
        <v/>
      </c>
      <c r="H43" s="4">
        <f>$D$17</f>
        <v/>
      </c>
      <c r="I43" s="4">
        <f>$E$17</f>
        <v/>
      </c>
      <c r="J43" s="3">
        <f>IF($A43&gt;$D$17,"ITM",IF($A43=$D$17,"ATM","OTM"))</f>
        <v/>
      </c>
      <c r="K43" s="3">
        <f>IF($A43&gt;$D$17,"SI","NO")</f>
        <v/>
      </c>
      <c r="L43" s="4">
        <f>-MAX($A43-$D$17,0)*$F$17</f>
        <v/>
      </c>
      <c r="M43" s="4">
        <f>$E$17*$F$17+L43</f>
        <v/>
      </c>
      <c r="N43" s="4">
        <f>F43+L43</f>
        <v/>
      </c>
      <c r="O43" s="4">
        <f>G43+M43</f>
        <v/>
      </c>
      <c r="P43" s="17">
        <f>O43*B7*B8</f>
        <v/>
      </c>
    </row>
    <row r="44">
      <c r="A44" s="4" t="n">
        <v>332.87</v>
      </c>
      <c r="B44" s="4">
        <f>$D$16</f>
        <v/>
      </c>
      <c r="C44" s="4">
        <f>$E$16</f>
        <v/>
      </c>
      <c r="D44" s="3">
        <f>IF($A44&gt;$D$16,"ITM",IF($A44=$D$16,"ATM","OTM"))</f>
        <v/>
      </c>
      <c r="E44" s="3">
        <f>IF($A44&gt;$D$16,"SI","NO")</f>
        <v/>
      </c>
      <c r="F44" s="4">
        <f>MAX($A44-$D$16,0)*$F$16</f>
        <v/>
      </c>
      <c r="G44" s="4">
        <f>F44-$E$16*$F$16</f>
        <v/>
      </c>
      <c r="H44" s="4">
        <f>$D$17</f>
        <v/>
      </c>
      <c r="I44" s="4">
        <f>$E$17</f>
        <v/>
      </c>
      <c r="J44" s="3">
        <f>IF($A44&gt;$D$17,"ITM",IF($A44=$D$17,"ATM","OTM"))</f>
        <v/>
      </c>
      <c r="K44" s="3">
        <f>IF($A44&gt;$D$17,"SI","NO")</f>
        <v/>
      </c>
      <c r="L44" s="4">
        <f>-MAX($A44-$D$17,0)*$F$17</f>
        <v/>
      </c>
      <c r="M44" s="4">
        <f>$E$17*$F$17+L44</f>
        <v/>
      </c>
      <c r="N44" s="4">
        <f>F44+L44</f>
        <v/>
      </c>
      <c r="O44" s="4">
        <f>G44+M44</f>
        <v/>
      </c>
      <c r="P44" s="17">
        <f>O44*B7*B8</f>
        <v/>
      </c>
    </row>
    <row r="45">
      <c r="A45" s="4" t="n">
        <v>335.64</v>
      </c>
      <c r="B45" s="4">
        <f>$D$16</f>
        <v/>
      </c>
      <c r="C45" s="4">
        <f>$E$16</f>
        <v/>
      </c>
      <c r="D45" s="3">
        <f>IF($A45&gt;$D$16,"ITM",IF($A45=$D$16,"ATM","OTM"))</f>
        <v/>
      </c>
      <c r="E45" s="3">
        <f>IF($A45&gt;$D$16,"SI","NO")</f>
        <v/>
      </c>
      <c r="F45" s="4">
        <f>MAX($A45-$D$16,0)*$F$16</f>
        <v/>
      </c>
      <c r="G45" s="4">
        <f>F45-$E$16*$F$16</f>
        <v/>
      </c>
      <c r="H45" s="4">
        <f>$D$17</f>
        <v/>
      </c>
      <c r="I45" s="4">
        <f>$E$17</f>
        <v/>
      </c>
      <c r="J45" s="3">
        <f>IF($A45&gt;$D$17,"ITM",IF($A45=$D$17,"ATM","OTM"))</f>
        <v/>
      </c>
      <c r="K45" s="3">
        <f>IF($A45&gt;$D$17,"SI","NO")</f>
        <v/>
      </c>
      <c r="L45" s="4">
        <f>-MAX($A45-$D$17,0)*$F$17</f>
        <v/>
      </c>
      <c r="M45" s="4">
        <f>$E$17*$F$17+L45</f>
        <v/>
      </c>
      <c r="N45" s="4">
        <f>F45+L45</f>
        <v/>
      </c>
      <c r="O45" s="4">
        <f>G45+M45</f>
        <v/>
      </c>
      <c r="P45" s="17">
        <f>O45*B7*B8</f>
        <v/>
      </c>
    </row>
    <row r="46">
      <c r="A46" s="4" t="n">
        <v>338.41</v>
      </c>
      <c r="B46" s="4">
        <f>$D$16</f>
        <v/>
      </c>
      <c r="C46" s="4">
        <f>$E$16</f>
        <v/>
      </c>
      <c r="D46" s="3">
        <f>IF($A46&gt;$D$16,"ITM",IF($A46=$D$16,"ATM","OTM"))</f>
        <v/>
      </c>
      <c r="E46" s="3">
        <f>IF($A46&gt;$D$16,"SI","NO")</f>
        <v/>
      </c>
      <c r="F46" s="4">
        <f>MAX($A46-$D$16,0)*$F$16</f>
        <v/>
      </c>
      <c r="G46" s="4">
        <f>F46-$E$16*$F$16</f>
        <v/>
      </c>
      <c r="H46" s="4">
        <f>$D$17</f>
        <v/>
      </c>
      <c r="I46" s="4">
        <f>$E$17</f>
        <v/>
      </c>
      <c r="J46" s="3">
        <f>IF($A46&gt;$D$17,"ITM",IF($A46=$D$17,"ATM","OTM"))</f>
        <v/>
      </c>
      <c r="K46" s="3">
        <f>IF($A46&gt;$D$17,"SI","NO")</f>
        <v/>
      </c>
      <c r="L46" s="4">
        <f>-MAX($A46-$D$17,0)*$F$17</f>
        <v/>
      </c>
      <c r="M46" s="4">
        <f>$E$17*$F$17+L46</f>
        <v/>
      </c>
      <c r="N46" s="4">
        <f>F46+L46</f>
        <v/>
      </c>
      <c r="O46" s="4">
        <f>G46+M46</f>
        <v/>
      </c>
      <c r="P46" s="17">
        <f>O46*B7*B8</f>
        <v/>
      </c>
    </row>
    <row r="47">
      <c r="A47" s="4" t="n">
        <v>341.18</v>
      </c>
      <c r="B47" s="4">
        <f>$D$16</f>
        <v/>
      </c>
      <c r="C47" s="4">
        <f>$E$16</f>
        <v/>
      </c>
      <c r="D47" s="3">
        <f>IF($A47&gt;$D$16,"ITM",IF($A47=$D$16,"ATM","OTM"))</f>
        <v/>
      </c>
      <c r="E47" s="3">
        <f>IF($A47&gt;$D$16,"SI","NO")</f>
        <v/>
      </c>
      <c r="F47" s="4">
        <f>MAX($A47-$D$16,0)*$F$16</f>
        <v/>
      </c>
      <c r="G47" s="4">
        <f>F47-$E$16*$F$16</f>
        <v/>
      </c>
      <c r="H47" s="4">
        <f>$D$17</f>
        <v/>
      </c>
      <c r="I47" s="4">
        <f>$E$17</f>
        <v/>
      </c>
      <c r="J47" s="3">
        <f>IF($A47&gt;$D$17,"ITM",IF($A47=$D$17,"ATM","OTM"))</f>
        <v/>
      </c>
      <c r="K47" s="3">
        <f>IF($A47&gt;$D$17,"SI","NO")</f>
        <v/>
      </c>
      <c r="L47" s="4">
        <f>-MAX($A47-$D$17,0)*$F$17</f>
        <v/>
      </c>
      <c r="M47" s="4">
        <f>$E$17*$F$17+L47</f>
        <v/>
      </c>
      <c r="N47" s="4">
        <f>F47+L47</f>
        <v/>
      </c>
      <c r="O47" s="4">
        <f>G47+M47</f>
        <v/>
      </c>
      <c r="P47" s="17">
        <f>O47*B7*B8</f>
        <v/>
      </c>
    </row>
    <row r="48">
      <c r="A48" s="4" t="n">
        <v>343.95</v>
      </c>
      <c r="B48" s="4">
        <f>$D$16</f>
        <v/>
      </c>
      <c r="C48" s="4">
        <f>$E$16</f>
        <v/>
      </c>
      <c r="D48" s="3">
        <f>IF($A48&gt;$D$16,"ITM",IF($A48=$D$16,"ATM","OTM"))</f>
        <v/>
      </c>
      <c r="E48" s="3">
        <f>IF($A48&gt;$D$16,"SI","NO")</f>
        <v/>
      </c>
      <c r="F48" s="4">
        <f>MAX($A48-$D$16,0)*$F$16</f>
        <v/>
      </c>
      <c r="G48" s="4">
        <f>F48-$E$16*$F$16</f>
        <v/>
      </c>
      <c r="H48" s="4">
        <f>$D$17</f>
        <v/>
      </c>
      <c r="I48" s="4">
        <f>$E$17</f>
        <v/>
      </c>
      <c r="J48" s="3">
        <f>IF($A48&gt;$D$17,"ITM",IF($A48=$D$17,"ATM","OTM"))</f>
        <v/>
      </c>
      <c r="K48" s="3">
        <f>IF($A48&gt;$D$17,"SI","NO")</f>
        <v/>
      </c>
      <c r="L48" s="4">
        <f>-MAX($A48-$D$17,0)*$F$17</f>
        <v/>
      </c>
      <c r="M48" s="4">
        <f>$E$17*$F$17+L48</f>
        <v/>
      </c>
      <c r="N48" s="4">
        <f>F48+L48</f>
        <v/>
      </c>
      <c r="O48" s="4">
        <f>G48+M48</f>
        <v/>
      </c>
      <c r="P48" s="17">
        <f>O48*B7*B8</f>
        <v/>
      </c>
    </row>
    <row r="49">
      <c r="A49" s="4" t="n">
        <v>346.72</v>
      </c>
      <c r="B49" s="4">
        <f>$D$16</f>
        <v/>
      </c>
      <c r="C49" s="4">
        <f>$E$16</f>
        <v/>
      </c>
      <c r="D49" s="3">
        <f>IF($A49&gt;$D$16,"ITM",IF($A49=$D$16,"ATM","OTM"))</f>
        <v/>
      </c>
      <c r="E49" s="3">
        <f>IF($A49&gt;$D$16,"SI","NO")</f>
        <v/>
      </c>
      <c r="F49" s="4">
        <f>MAX($A49-$D$16,0)*$F$16</f>
        <v/>
      </c>
      <c r="G49" s="4">
        <f>F49-$E$16*$F$16</f>
        <v/>
      </c>
      <c r="H49" s="4">
        <f>$D$17</f>
        <v/>
      </c>
      <c r="I49" s="4">
        <f>$E$17</f>
        <v/>
      </c>
      <c r="J49" s="3">
        <f>IF($A49&gt;$D$17,"ITM",IF($A49=$D$17,"ATM","OTM"))</f>
        <v/>
      </c>
      <c r="K49" s="3">
        <f>IF($A49&gt;$D$17,"SI","NO")</f>
        <v/>
      </c>
      <c r="L49" s="4">
        <f>-MAX($A49-$D$17,0)*$F$17</f>
        <v/>
      </c>
      <c r="M49" s="4">
        <f>$E$17*$F$17+L49</f>
        <v/>
      </c>
      <c r="N49" s="4">
        <f>F49+L49</f>
        <v/>
      </c>
      <c r="O49" s="4">
        <f>G49+M49</f>
        <v/>
      </c>
      <c r="P49" s="17">
        <f>O49*B7*B8</f>
        <v/>
      </c>
    </row>
    <row r="51">
      <c r="A51" s="11" t="inlineStr">
        <is>
          <t>RESUMEN DE LA ESTRATEGIA</t>
        </is>
      </c>
    </row>
    <row r="52">
      <c r="A52" s="13" t="inlineStr">
        <is>
          <t>Break-even(s)</t>
        </is>
      </c>
      <c r="C52" t="inlineStr">
        <is>
          <t>313.26</t>
        </is>
      </c>
    </row>
    <row r="53">
      <c r="A53" s="13" t="inlineStr">
        <is>
          <t>Ganancia maxima (USD)</t>
        </is>
      </c>
      <c r="C53" s="15">
        <f>MAX(P24:P49)</f>
        <v/>
      </c>
    </row>
    <row r="54">
      <c r="A54" s="13" t="inlineStr">
        <is>
          <t>Perdida maxima (USD)</t>
        </is>
      </c>
      <c r="C54" s="15">
        <f>MIN(P24:P49)</f>
        <v/>
      </c>
    </row>
    <row r="55">
      <c r="A55" s="13" t="inlineStr">
        <is>
          <t>Prima neta total (USD)</t>
        </is>
      </c>
      <c r="C55" s="15">
        <f>E20</f>
        <v/>
      </c>
    </row>
    <row r="56">
      <c r="A56" s="13" t="inlineStr">
        <is>
          <t>Capital en riesgo (USD)</t>
        </is>
      </c>
      <c r="C56" t="n">
        <v>9780</v>
      </c>
    </row>
    <row r="58">
      <c r="A58" s="11" t="inlineStr">
        <is>
          <t>RESULTADO POR ESCENARIO (al vencimiento)</t>
        </is>
      </c>
    </row>
    <row r="59">
      <c r="A59" s="2" t="inlineStr">
        <is>
          <t>Escenario</t>
        </is>
      </c>
      <c r="B59" s="2" t="inlineStr">
        <is>
          <t>ST asumido</t>
        </is>
      </c>
      <c r="C59" s="2" t="inlineStr">
        <is>
          <t>GoP total (USD)</t>
        </is>
      </c>
      <c r="D59" s="2" t="inlineStr">
        <is>
          <t>Rent. s/ capital riesgo</t>
        </is>
      </c>
    </row>
    <row r="60">
      <c r="A60" s="3" t="inlineStr">
        <is>
          <t>Optimista</t>
        </is>
      </c>
      <c r="B60" s="4" t="n">
        <v>327.15</v>
      </c>
      <c r="C60" s="17" t="n">
        <v>27720</v>
      </c>
      <c r="D60" s="6" t="n">
        <v>2.834355828220859</v>
      </c>
    </row>
    <row r="61">
      <c r="A61" s="3" t="inlineStr">
        <is>
          <t>Base</t>
        </is>
      </c>
      <c r="B61" s="4" t="n">
        <v>308.63</v>
      </c>
      <c r="C61" s="16" t="n">
        <v>-9780</v>
      </c>
      <c r="D61" s="6" t="n">
        <v>-1</v>
      </c>
    </row>
    <row r="62">
      <c r="A62" s="3" t="inlineStr">
        <is>
          <t>Pesimista</t>
        </is>
      </c>
      <c r="B62" s="4" t="n">
        <v>290.11</v>
      </c>
      <c r="C62" s="16" t="n">
        <v>-9780</v>
      </c>
      <c r="D62" s="6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SPY — Butterfly Calls 745/755/765 (Dic)</t>
        </is>
      </c>
    </row>
    <row r="2">
      <c r="A2" s="12" t="inlineStr">
        <is>
          <t>Butterfly Spread (calls)  ·  Sesgo: Neutral (rango)  ·  Confianza: Media</t>
        </is>
      </c>
    </row>
    <row r="4">
      <c r="A4" s="11" t="inlineStr">
        <is>
          <t>PARAMETROS</t>
        </is>
      </c>
    </row>
    <row r="5">
      <c r="A5" s="13" t="inlineStr">
        <is>
          <t>Subyacente</t>
        </is>
      </c>
      <c r="B5" t="inlineStr">
        <is>
          <t>SPY</t>
        </is>
      </c>
    </row>
    <row r="6">
      <c r="A6" s="13" t="inlineStr">
        <is>
          <t>Spot de entrada (2-jul-2026)</t>
        </is>
      </c>
      <c r="B6" t="n">
        <v>744.78</v>
      </c>
    </row>
    <row r="7">
      <c r="A7" s="13" t="inlineStr">
        <is>
          <t>Contratos</t>
        </is>
      </c>
      <c r="B7" t="n">
        <v>50</v>
      </c>
    </row>
    <row r="8">
      <c r="A8" s="13" t="inlineStr">
        <is>
          <t>Acciones por contrato</t>
        </is>
      </c>
      <c r="B8" t="n">
        <v>100</v>
      </c>
    </row>
    <row r="9">
      <c r="A9" s="13" t="inlineStr">
        <is>
          <t>Total de acciones</t>
        </is>
      </c>
      <c r="B9">
        <f>B7*B8</f>
        <v/>
      </c>
    </row>
    <row r="10">
      <c r="A10" s="13" t="inlineStr">
        <is>
          <t>Vencimiento</t>
        </is>
      </c>
      <c r="B10" t="inlineStr">
        <is>
          <t>2026-12-18</t>
        </is>
      </c>
    </row>
    <row r="11">
      <c r="A11" s="13" t="inlineStr">
        <is>
          <t>r (anual)</t>
        </is>
      </c>
      <c r="B11" t="n">
        <v>0.045</v>
      </c>
    </row>
    <row r="12">
      <c r="A12" s="13" t="inlineStr">
        <is>
          <t>T (anios)</t>
        </is>
      </c>
      <c r="B12" t="n">
        <v>0.463</v>
      </c>
    </row>
    <row r="14">
      <c r="A14" s="11" t="inlineStr">
        <is>
          <t>PATAS DE LA ESTRATEGIA</t>
        </is>
      </c>
    </row>
    <row r="15">
      <c r="A15" s="2" t="inlineStr">
        <is>
          <t>Pata</t>
        </is>
      </c>
      <c r="B15" s="2" t="inlineStr">
        <is>
          <t>Tipo</t>
        </is>
      </c>
      <c r="C15" s="2" t="inlineStr">
        <is>
          <t>Lado</t>
        </is>
      </c>
      <c r="D15" s="2" t="inlineStr">
        <is>
          <t>Strike (K)</t>
        </is>
      </c>
      <c r="E15" s="2" t="inlineStr">
        <is>
          <t>Prima/accion</t>
        </is>
      </c>
      <c r="F15" s="2" t="inlineStr">
        <is>
          <t>Mult</t>
        </is>
      </c>
    </row>
    <row r="16">
      <c r="A16" s="3" t="inlineStr">
        <is>
          <t>P1</t>
        </is>
      </c>
      <c r="B16" s="3" t="inlineStr">
        <is>
          <t>CALL</t>
        </is>
      </c>
      <c r="C16" s="3" t="inlineStr">
        <is>
          <t>LONG</t>
        </is>
      </c>
      <c r="D16" s="3" t="n">
        <v>745</v>
      </c>
      <c r="E16" s="3" t="n">
        <v>38.6</v>
      </c>
      <c r="F16" s="3" t="n">
        <v>1</v>
      </c>
    </row>
    <row r="17">
      <c r="A17" s="3" t="inlineStr">
        <is>
          <t>P2</t>
        </is>
      </c>
      <c r="B17" s="3" t="inlineStr">
        <is>
          <t>CALL</t>
        </is>
      </c>
      <c r="C17" s="3" t="inlineStr">
        <is>
          <t>SHORT</t>
        </is>
      </c>
      <c r="D17" s="3" t="n">
        <v>755</v>
      </c>
      <c r="E17" s="3" t="n">
        <v>32.42</v>
      </c>
      <c r="F17" s="3" t="n">
        <v>2</v>
      </c>
    </row>
    <row r="18">
      <c r="A18" s="3" t="inlineStr">
        <is>
          <t>P3</t>
        </is>
      </c>
      <c r="B18" s="3" t="inlineStr">
        <is>
          <t>CALL</t>
        </is>
      </c>
      <c r="C18" s="3" t="inlineStr">
        <is>
          <t>LONG</t>
        </is>
      </c>
      <c r="D18" s="3" t="n">
        <v>765</v>
      </c>
      <c r="E18" s="3" t="n">
        <v>27.34</v>
      </c>
      <c r="F18" s="3" t="n">
        <v>1</v>
      </c>
    </row>
    <row r="20">
      <c r="A20" s="13" t="inlineStr">
        <is>
          <t>Prima neta / accion (cred + / deb -)</t>
        </is>
      </c>
      <c r="E20" s="14">
        <f>-E16*F16+E17*F17-E18*F18</f>
        <v/>
      </c>
    </row>
    <row r="21">
      <c r="A21" s="13" t="inlineStr">
        <is>
          <t>Prima neta total (USD)</t>
        </is>
      </c>
      <c r="E21" s="15">
        <f>E20*B7*B8</f>
        <v/>
      </c>
    </row>
    <row r="23">
      <c r="A23" s="11" t="inlineStr">
        <is>
          <t>TABLA DE PAYOFF AL VENCIMIENTO</t>
        </is>
      </c>
    </row>
    <row r="24">
      <c r="A24" s="2" t="inlineStr">
        <is>
          <t>ST (Spot)</t>
        </is>
      </c>
      <c r="B24" s="2" t="inlineStr">
        <is>
          <t>P1 K</t>
        </is>
      </c>
      <c r="C24" s="2" t="inlineStr">
        <is>
          <t>P1 Prima</t>
        </is>
      </c>
      <c r="D24" s="2" t="inlineStr">
        <is>
          <t>P1 Moneyness</t>
        </is>
      </c>
      <c r="E24" s="2" t="inlineStr">
        <is>
          <t>P1 Ejerce</t>
        </is>
      </c>
      <c r="F24" s="2" t="inlineStr">
        <is>
          <t>P1 Payoff/acc</t>
        </is>
      </c>
      <c r="G24" s="2" t="inlineStr">
        <is>
          <t>P1 GoP/acc</t>
        </is>
      </c>
      <c r="H24" s="2" t="inlineStr">
        <is>
          <t>P2 K</t>
        </is>
      </c>
      <c r="I24" s="2" t="inlineStr">
        <is>
          <t>P2 Prima</t>
        </is>
      </c>
      <c r="J24" s="2" t="inlineStr">
        <is>
          <t>P2 Moneyness</t>
        </is>
      </c>
      <c r="K24" s="2" t="inlineStr">
        <is>
          <t>P2 Ejerce</t>
        </is>
      </c>
      <c r="L24" s="2" t="inlineStr">
        <is>
          <t>P2 Payoff/acc</t>
        </is>
      </c>
      <c r="M24" s="2" t="inlineStr">
        <is>
          <t>P2 GoP/acc</t>
        </is>
      </c>
      <c r="N24" s="2" t="inlineStr">
        <is>
          <t>P3 K</t>
        </is>
      </c>
      <c r="O24" s="2" t="inlineStr">
        <is>
          <t>P3 Prima</t>
        </is>
      </c>
      <c r="P24" s="2" t="inlineStr">
        <is>
          <t>P3 Moneyness</t>
        </is>
      </c>
      <c r="Q24" s="2" t="inlineStr">
        <is>
          <t>P3 Ejerce</t>
        </is>
      </c>
      <c r="R24" s="2" t="inlineStr">
        <is>
          <t>P3 Payoff/acc</t>
        </is>
      </c>
      <c r="S24" s="2" t="inlineStr">
        <is>
          <t>P3 GoP/acc</t>
        </is>
      </c>
      <c r="T24" s="2" t="inlineStr">
        <is>
          <t>Payoff neto/acc</t>
        </is>
      </c>
      <c r="U24" s="2" t="inlineStr">
        <is>
          <t>GoP neto/acc</t>
        </is>
      </c>
      <c r="V24" s="2" t="inlineStr">
        <is>
          <t>GoP TOTAL (USD)</t>
        </is>
      </c>
    </row>
    <row r="25">
      <c r="A25" s="4" t="n">
        <v>689.38</v>
      </c>
      <c r="B25" s="4">
        <f>$D$16</f>
        <v/>
      </c>
      <c r="C25" s="4">
        <f>$E$16</f>
        <v/>
      </c>
      <c r="D25" s="3">
        <f>IF($A25&gt;$D$16,"ITM",IF($A25=$D$16,"ATM","OTM"))</f>
        <v/>
      </c>
      <c r="E25" s="3">
        <f>IF($A25&gt;$D$16,"SI","NO")</f>
        <v/>
      </c>
      <c r="F25" s="4">
        <f>MAX($A25-$D$16,0)*$F$16</f>
        <v/>
      </c>
      <c r="G25" s="4">
        <f>F25-$E$16*$F$16</f>
        <v/>
      </c>
      <c r="H25" s="4">
        <f>$D$17</f>
        <v/>
      </c>
      <c r="I25" s="4">
        <f>$E$17</f>
        <v/>
      </c>
      <c r="J25" s="3">
        <f>IF($A25&gt;$D$17,"ITM",IF($A25=$D$17,"ATM","OTM"))</f>
        <v/>
      </c>
      <c r="K25" s="3">
        <f>IF($A25&gt;$D$17,"SI","NO")</f>
        <v/>
      </c>
      <c r="L25" s="4">
        <f>-MAX($A25-$D$17,0)*$F$17</f>
        <v/>
      </c>
      <c r="M25" s="4">
        <f>$E$17*$F$17+L25</f>
        <v/>
      </c>
      <c r="N25" s="4">
        <f>$D$18</f>
        <v/>
      </c>
      <c r="O25" s="4">
        <f>$E$18</f>
        <v/>
      </c>
      <c r="P25" s="3">
        <f>IF($A25&gt;$D$18,"ITM",IF($A25=$D$18,"ATM","OTM"))</f>
        <v/>
      </c>
      <c r="Q25" s="3">
        <f>IF($A25&gt;$D$18,"SI","NO")</f>
        <v/>
      </c>
      <c r="R25" s="4">
        <f>MAX($A25-$D$18,0)*$F$18</f>
        <v/>
      </c>
      <c r="S25" s="4">
        <f>R25-$E$18*$F$18</f>
        <v/>
      </c>
      <c r="T25" s="4">
        <f>F25+L25+R25</f>
        <v/>
      </c>
      <c r="U25" s="4">
        <f>G25+M25+S25</f>
        <v/>
      </c>
      <c r="V25" s="16">
        <f>U25*B7*B8</f>
        <v/>
      </c>
    </row>
    <row r="26">
      <c r="A26" s="4" t="n">
        <v>695.34</v>
      </c>
      <c r="B26" s="4">
        <f>$D$16</f>
        <v/>
      </c>
      <c r="C26" s="4">
        <f>$E$16</f>
        <v/>
      </c>
      <c r="D26" s="3">
        <f>IF($A26&gt;$D$16,"ITM",IF($A26=$D$16,"ATM","OTM"))</f>
        <v/>
      </c>
      <c r="E26" s="3">
        <f>IF($A26&gt;$D$16,"SI","NO")</f>
        <v/>
      </c>
      <c r="F26" s="4">
        <f>MAX($A26-$D$16,0)*$F$16</f>
        <v/>
      </c>
      <c r="G26" s="4">
        <f>F26-$E$16*$F$16</f>
        <v/>
      </c>
      <c r="H26" s="4">
        <f>$D$17</f>
        <v/>
      </c>
      <c r="I26" s="4">
        <f>$E$17</f>
        <v/>
      </c>
      <c r="J26" s="3">
        <f>IF($A26&gt;$D$17,"ITM",IF($A26=$D$17,"ATM","OTM"))</f>
        <v/>
      </c>
      <c r="K26" s="3">
        <f>IF($A26&gt;$D$17,"SI","NO")</f>
        <v/>
      </c>
      <c r="L26" s="4">
        <f>-MAX($A26-$D$17,0)*$F$17</f>
        <v/>
      </c>
      <c r="M26" s="4">
        <f>$E$17*$F$17+L26</f>
        <v/>
      </c>
      <c r="N26" s="4">
        <f>$D$18</f>
        <v/>
      </c>
      <c r="O26" s="4">
        <f>$E$18</f>
        <v/>
      </c>
      <c r="P26" s="3">
        <f>IF($A26&gt;$D$18,"ITM",IF($A26=$D$18,"ATM","OTM"))</f>
        <v/>
      </c>
      <c r="Q26" s="3">
        <f>IF($A26&gt;$D$18,"SI","NO")</f>
        <v/>
      </c>
      <c r="R26" s="4">
        <f>MAX($A26-$D$18,0)*$F$18</f>
        <v/>
      </c>
      <c r="S26" s="4">
        <f>R26-$E$18*$F$18</f>
        <v/>
      </c>
      <c r="T26" s="4">
        <f>F26+L26+R26</f>
        <v/>
      </c>
      <c r="U26" s="4">
        <f>G26+M26+S26</f>
        <v/>
      </c>
      <c r="V26" s="16">
        <f>U26*B7*B8</f>
        <v/>
      </c>
    </row>
    <row r="27">
      <c r="A27" s="4" t="n">
        <v>701.3099999999999</v>
      </c>
      <c r="B27" s="4">
        <f>$D$16</f>
        <v/>
      </c>
      <c r="C27" s="4">
        <f>$E$16</f>
        <v/>
      </c>
      <c r="D27" s="3">
        <f>IF($A27&gt;$D$16,"ITM",IF($A27=$D$16,"ATM","OTM"))</f>
        <v/>
      </c>
      <c r="E27" s="3">
        <f>IF($A27&gt;$D$16,"SI","NO")</f>
        <v/>
      </c>
      <c r="F27" s="4">
        <f>MAX($A27-$D$16,0)*$F$16</f>
        <v/>
      </c>
      <c r="G27" s="4">
        <f>F27-$E$16*$F$16</f>
        <v/>
      </c>
      <c r="H27" s="4">
        <f>$D$17</f>
        <v/>
      </c>
      <c r="I27" s="4">
        <f>$E$17</f>
        <v/>
      </c>
      <c r="J27" s="3">
        <f>IF($A27&gt;$D$17,"ITM",IF($A27=$D$17,"ATM","OTM"))</f>
        <v/>
      </c>
      <c r="K27" s="3">
        <f>IF($A27&gt;$D$17,"SI","NO")</f>
        <v/>
      </c>
      <c r="L27" s="4">
        <f>-MAX($A27-$D$17,0)*$F$17</f>
        <v/>
      </c>
      <c r="M27" s="4">
        <f>$E$17*$F$17+L27</f>
        <v/>
      </c>
      <c r="N27" s="4">
        <f>$D$18</f>
        <v/>
      </c>
      <c r="O27" s="4">
        <f>$E$18</f>
        <v/>
      </c>
      <c r="P27" s="3">
        <f>IF($A27&gt;$D$18,"ITM",IF($A27=$D$18,"ATM","OTM"))</f>
        <v/>
      </c>
      <c r="Q27" s="3">
        <f>IF($A27&gt;$D$18,"SI","NO")</f>
        <v/>
      </c>
      <c r="R27" s="4">
        <f>MAX($A27-$D$18,0)*$F$18</f>
        <v/>
      </c>
      <c r="S27" s="4">
        <f>R27-$E$18*$F$18</f>
        <v/>
      </c>
      <c r="T27" s="4">
        <f>F27+L27+R27</f>
        <v/>
      </c>
      <c r="U27" s="4">
        <f>G27+M27+S27</f>
        <v/>
      </c>
      <c r="V27" s="16">
        <f>U27*B7*B8</f>
        <v/>
      </c>
    </row>
    <row r="28">
      <c r="A28" s="4" t="n">
        <v>707.27</v>
      </c>
      <c r="B28" s="4">
        <f>$D$16</f>
        <v/>
      </c>
      <c r="C28" s="4">
        <f>$E$16</f>
        <v/>
      </c>
      <c r="D28" s="3">
        <f>IF($A28&gt;$D$16,"ITM",IF($A28=$D$16,"ATM","OTM"))</f>
        <v/>
      </c>
      <c r="E28" s="3">
        <f>IF($A28&gt;$D$16,"SI","NO")</f>
        <v/>
      </c>
      <c r="F28" s="4">
        <f>MAX($A28-$D$16,0)*$F$16</f>
        <v/>
      </c>
      <c r="G28" s="4">
        <f>F28-$E$16*$F$16</f>
        <v/>
      </c>
      <c r="H28" s="4">
        <f>$D$17</f>
        <v/>
      </c>
      <c r="I28" s="4">
        <f>$E$17</f>
        <v/>
      </c>
      <c r="J28" s="3">
        <f>IF($A28&gt;$D$17,"ITM",IF($A28=$D$17,"ATM","OTM"))</f>
        <v/>
      </c>
      <c r="K28" s="3">
        <f>IF($A28&gt;$D$17,"SI","NO")</f>
        <v/>
      </c>
      <c r="L28" s="4">
        <f>-MAX($A28-$D$17,0)*$F$17</f>
        <v/>
      </c>
      <c r="M28" s="4">
        <f>$E$17*$F$17+L28</f>
        <v/>
      </c>
      <c r="N28" s="4">
        <f>$D$18</f>
        <v/>
      </c>
      <c r="O28" s="4">
        <f>$E$18</f>
        <v/>
      </c>
      <c r="P28" s="3">
        <f>IF($A28&gt;$D$18,"ITM",IF($A28=$D$18,"ATM","OTM"))</f>
        <v/>
      </c>
      <c r="Q28" s="3">
        <f>IF($A28&gt;$D$18,"SI","NO")</f>
        <v/>
      </c>
      <c r="R28" s="4">
        <f>MAX($A28-$D$18,0)*$F$18</f>
        <v/>
      </c>
      <c r="S28" s="4">
        <f>R28-$E$18*$F$18</f>
        <v/>
      </c>
      <c r="T28" s="4">
        <f>F28+L28+R28</f>
        <v/>
      </c>
      <c r="U28" s="4">
        <f>G28+M28+S28</f>
        <v/>
      </c>
      <c r="V28" s="16">
        <f>U28*B7*B8</f>
        <v/>
      </c>
    </row>
    <row r="29">
      <c r="A29" s="4" t="n">
        <v>713.24</v>
      </c>
      <c r="B29" s="4">
        <f>$D$16</f>
        <v/>
      </c>
      <c r="C29" s="4">
        <f>$E$16</f>
        <v/>
      </c>
      <c r="D29" s="3">
        <f>IF($A29&gt;$D$16,"ITM",IF($A29=$D$16,"ATM","OTM"))</f>
        <v/>
      </c>
      <c r="E29" s="3">
        <f>IF($A29&gt;$D$16,"SI","NO")</f>
        <v/>
      </c>
      <c r="F29" s="4">
        <f>MAX($A29-$D$16,0)*$F$16</f>
        <v/>
      </c>
      <c r="G29" s="4">
        <f>F29-$E$16*$F$16</f>
        <v/>
      </c>
      <c r="H29" s="4">
        <f>$D$17</f>
        <v/>
      </c>
      <c r="I29" s="4">
        <f>$E$17</f>
        <v/>
      </c>
      <c r="J29" s="3">
        <f>IF($A29&gt;$D$17,"ITM",IF($A29=$D$17,"ATM","OTM"))</f>
        <v/>
      </c>
      <c r="K29" s="3">
        <f>IF($A29&gt;$D$17,"SI","NO")</f>
        <v/>
      </c>
      <c r="L29" s="4">
        <f>-MAX($A29-$D$17,0)*$F$17</f>
        <v/>
      </c>
      <c r="M29" s="4">
        <f>$E$17*$F$17+L29</f>
        <v/>
      </c>
      <c r="N29" s="4">
        <f>$D$18</f>
        <v/>
      </c>
      <c r="O29" s="4">
        <f>$E$18</f>
        <v/>
      </c>
      <c r="P29" s="3">
        <f>IF($A29&gt;$D$18,"ITM",IF($A29=$D$18,"ATM","OTM"))</f>
        <v/>
      </c>
      <c r="Q29" s="3">
        <f>IF($A29&gt;$D$18,"SI","NO")</f>
        <v/>
      </c>
      <c r="R29" s="4">
        <f>MAX($A29-$D$18,0)*$F$18</f>
        <v/>
      </c>
      <c r="S29" s="4">
        <f>R29-$E$18*$F$18</f>
        <v/>
      </c>
      <c r="T29" s="4">
        <f>F29+L29+R29</f>
        <v/>
      </c>
      <c r="U29" s="4">
        <f>G29+M29+S29</f>
        <v/>
      </c>
      <c r="V29" s="16">
        <f>U29*B7*B8</f>
        <v/>
      </c>
    </row>
    <row r="30">
      <c r="A30" s="4" t="n">
        <v>719.21</v>
      </c>
      <c r="B30" s="4">
        <f>$D$16</f>
        <v/>
      </c>
      <c r="C30" s="4">
        <f>$E$16</f>
        <v/>
      </c>
      <c r="D30" s="3">
        <f>IF($A30&gt;$D$16,"ITM",IF($A30=$D$16,"ATM","OTM"))</f>
        <v/>
      </c>
      <c r="E30" s="3">
        <f>IF($A30&gt;$D$16,"SI","NO")</f>
        <v/>
      </c>
      <c r="F30" s="4">
        <f>MAX($A30-$D$16,0)*$F$16</f>
        <v/>
      </c>
      <c r="G30" s="4">
        <f>F30-$E$16*$F$16</f>
        <v/>
      </c>
      <c r="H30" s="4">
        <f>$D$17</f>
        <v/>
      </c>
      <c r="I30" s="4">
        <f>$E$17</f>
        <v/>
      </c>
      <c r="J30" s="3">
        <f>IF($A30&gt;$D$17,"ITM",IF($A30=$D$17,"ATM","OTM"))</f>
        <v/>
      </c>
      <c r="K30" s="3">
        <f>IF($A30&gt;$D$17,"SI","NO")</f>
        <v/>
      </c>
      <c r="L30" s="4">
        <f>-MAX($A30-$D$17,0)*$F$17</f>
        <v/>
      </c>
      <c r="M30" s="4">
        <f>$E$17*$F$17+L30</f>
        <v/>
      </c>
      <c r="N30" s="4">
        <f>$D$18</f>
        <v/>
      </c>
      <c r="O30" s="4">
        <f>$E$18</f>
        <v/>
      </c>
      <c r="P30" s="3">
        <f>IF($A30&gt;$D$18,"ITM",IF($A30=$D$18,"ATM","OTM"))</f>
        <v/>
      </c>
      <c r="Q30" s="3">
        <f>IF($A30&gt;$D$18,"SI","NO")</f>
        <v/>
      </c>
      <c r="R30" s="4">
        <f>MAX($A30-$D$18,0)*$F$18</f>
        <v/>
      </c>
      <c r="S30" s="4">
        <f>R30-$E$18*$F$18</f>
        <v/>
      </c>
      <c r="T30" s="4">
        <f>F30+L30+R30</f>
        <v/>
      </c>
      <c r="U30" s="4">
        <f>G30+M30+S30</f>
        <v/>
      </c>
      <c r="V30" s="16">
        <f>U30*B7*B8</f>
        <v/>
      </c>
    </row>
    <row r="31">
      <c r="A31" s="4" t="n">
        <v>725.17</v>
      </c>
      <c r="B31" s="4">
        <f>$D$16</f>
        <v/>
      </c>
      <c r="C31" s="4">
        <f>$E$16</f>
        <v/>
      </c>
      <c r="D31" s="3">
        <f>IF($A31&gt;$D$16,"ITM",IF($A31=$D$16,"ATM","OTM"))</f>
        <v/>
      </c>
      <c r="E31" s="3">
        <f>IF($A31&gt;$D$16,"SI","NO")</f>
        <v/>
      </c>
      <c r="F31" s="4">
        <f>MAX($A31-$D$16,0)*$F$16</f>
        <v/>
      </c>
      <c r="G31" s="4">
        <f>F31-$E$16*$F$16</f>
        <v/>
      </c>
      <c r="H31" s="4">
        <f>$D$17</f>
        <v/>
      </c>
      <c r="I31" s="4">
        <f>$E$17</f>
        <v/>
      </c>
      <c r="J31" s="3">
        <f>IF($A31&gt;$D$17,"ITM",IF($A31=$D$17,"ATM","OTM"))</f>
        <v/>
      </c>
      <c r="K31" s="3">
        <f>IF($A31&gt;$D$17,"SI","NO")</f>
        <v/>
      </c>
      <c r="L31" s="4">
        <f>-MAX($A31-$D$17,0)*$F$17</f>
        <v/>
      </c>
      <c r="M31" s="4">
        <f>$E$17*$F$17+L31</f>
        <v/>
      </c>
      <c r="N31" s="4">
        <f>$D$18</f>
        <v/>
      </c>
      <c r="O31" s="4">
        <f>$E$18</f>
        <v/>
      </c>
      <c r="P31" s="3">
        <f>IF($A31&gt;$D$18,"ITM",IF($A31=$D$18,"ATM","OTM"))</f>
        <v/>
      </c>
      <c r="Q31" s="3">
        <f>IF($A31&gt;$D$18,"SI","NO")</f>
        <v/>
      </c>
      <c r="R31" s="4">
        <f>MAX($A31-$D$18,0)*$F$18</f>
        <v/>
      </c>
      <c r="S31" s="4">
        <f>R31-$E$18*$F$18</f>
        <v/>
      </c>
      <c r="T31" s="4">
        <f>F31+L31+R31</f>
        <v/>
      </c>
      <c r="U31" s="4">
        <f>G31+M31+S31</f>
        <v/>
      </c>
      <c r="V31" s="16">
        <f>U31*B7*B8</f>
        <v/>
      </c>
    </row>
    <row r="32">
      <c r="A32" s="4" t="n">
        <v>731.14</v>
      </c>
      <c r="B32" s="4">
        <f>$D$16</f>
        <v/>
      </c>
      <c r="C32" s="4">
        <f>$E$16</f>
        <v/>
      </c>
      <c r="D32" s="3">
        <f>IF($A32&gt;$D$16,"ITM",IF($A32=$D$16,"ATM","OTM"))</f>
        <v/>
      </c>
      <c r="E32" s="3">
        <f>IF($A32&gt;$D$16,"SI","NO")</f>
        <v/>
      </c>
      <c r="F32" s="4">
        <f>MAX($A32-$D$16,0)*$F$16</f>
        <v/>
      </c>
      <c r="G32" s="4">
        <f>F32-$E$16*$F$16</f>
        <v/>
      </c>
      <c r="H32" s="4">
        <f>$D$17</f>
        <v/>
      </c>
      <c r="I32" s="4">
        <f>$E$17</f>
        <v/>
      </c>
      <c r="J32" s="3">
        <f>IF($A32&gt;$D$17,"ITM",IF($A32=$D$17,"ATM","OTM"))</f>
        <v/>
      </c>
      <c r="K32" s="3">
        <f>IF($A32&gt;$D$17,"SI","NO")</f>
        <v/>
      </c>
      <c r="L32" s="4">
        <f>-MAX($A32-$D$17,0)*$F$17</f>
        <v/>
      </c>
      <c r="M32" s="4">
        <f>$E$17*$F$17+L32</f>
        <v/>
      </c>
      <c r="N32" s="4">
        <f>$D$18</f>
        <v/>
      </c>
      <c r="O32" s="4">
        <f>$E$18</f>
        <v/>
      </c>
      <c r="P32" s="3">
        <f>IF($A32&gt;$D$18,"ITM",IF($A32=$D$18,"ATM","OTM"))</f>
        <v/>
      </c>
      <c r="Q32" s="3">
        <f>IF($A32&gt;$D$18,"SI","NO")</f>
        <v/>
      </c>
      <c r="R32" s="4">
        <f>MAX($A32-$D$18,0)*$F$18</f>
        <v/>
      </c>
      <c r="S32" s="4">
        <f>R32-$E$18*$F$18</f>
        <v/>
      </c>
      <c r="T32" s="4">
        <f>F32+L32+R32</f>
        <v/>
      </c>
      <c r="U32" s="4">
        <f>G32+M32+S32</f>
        <v/>
      </c>
      <c r="V32" s="16">
        <f>U32*B7*B8</f>
        <v/>
      </c>
    </row>
    <row r="33">
      <c r="A33" s="4" t="n">
        <v>737.1</v>
      </c>
      <c r="B33" s="4">
        <f>$D$16</f>
        <v/>
      </c>
      <c r="C33" s="4">
        <f>$E$16</f>
        <v/>
      </c>
      <c r="D33" s="3">
        <f>IF($A33&gt;$D$16,"ITM",IF($A33=$D$16,"ATM","OTM"))</f>
        <v/>
      </c>
      <c r="E33" s="3">
        <f>IF($A33&gt;$D$16,"SI","NO")</f>
        <v/>
      </c>
      <c r="F33" s="4">
        <f>MAX($A33-$D$16,0)*$F$16</f>
        <v/>
      </c>
      <c r="G33" s="4">
        <f>F33-$E$16*$F$16</f>
        <v/>
      </c>
      <c r="H33" s="4">
        <f>$D$17</f>
        <v/>
      </c>
      <c r="I33" s="4">
        <f>$E$17</f>
        <v/>
      </c>
      <c r="J33" s="3">
        <f>IF($A33&gt;$D$17,"ITM",IF($A33=$D$17,"ATM","OTM"))</f>
        <v/>
      </c>
      <c r="K33" s="3">
        <f>IF($A33&gt;$D$17,"SI","NO")</f>
        <v/>
      </c>
      <c r="L33" s="4">
        <f>-MAX($A33-$D$17,0)*$F$17</f>
        <v/>
      </c>
      <c r="M33" s="4">
        <f>$E$17*$F$17+L33</f>
        <v/>
      </c>
      <c r="N33" s="4">
        <f>$D$18</f>
        <v/>
      </c>
      <c r="O33" s="4">
        <f>$E$18</f>
        <v/>
      </c>
      <c r="P33" s="3">
        <f>IF($A33&gt;$D$18,"ITM",IF($A33=$D$18,"ATM","OTM"))</f>
        <v/>
      </c>
      <c r="Q33" s="3">
        <f>IF($A33&gt;$D$18,"SI","NO")</f>
        <v/>
      </c>
      <c r="R33" s="4">
        <f>MAX($A33-$D$18,0)*$F$18</f>
        <v/>
      </c>
      <c r="S33" s="4">
        <f>R33-$E$18*$F$18</f>
        <v/>
      </c>
      <c r="T33" s="4">
        <f>F33+L33+R33</f>
        <v/>
      </c>
      <c r="U33" s="4">
        <f>G33+M33+S33</f>
        <v/>
      </c>
      <c r="V33" s="16">
        <f>U33*B7*B8</f>
        <v/>
      </c>
    </row>
    <row r="34">
      <c r="A34" s="4" t="n">
        <v>743.0700000000001</v>
      </c>
      <c r="B34" s="4">
        <f>$D$16</f>
        <v/>
      </c>
      <c r="C34" s="4">
        <f>$E$16</f>
        <v/>
      </c>
      <c r="D34" s="3">
        <f>IF($A34&gt;$D$16,"ITM",IF($A34=$D$16,"ATM","OTM"))</f>
        <v/>
      </c>
      <c r="E34" s="3">
        <f>IF($A34&gt;$D$16,"SI","NO")</f>
        <v/>
      </c>
      <c r="F34" s="4">
        <f>MAX($A34-$D$16,0)*$F$16</f>
        <v/>
      </c>
      <c r="G34" s="4">
        <f>F34-$E$16*$F$16</f>
        <v/>
      </c>
      <c r="H34" s="4">
        <f>$D$17</f>
        <v/>
      </c>
      <c r="I34" s="4">
        <f>$E$17</f>
        <v/>
      </c>
      <c r="J34" s="3">
        <f>IF($A34&gt;$D$17,"ITM",IF($A34=$D$17,"ATM","OTM"))</f>
        <v/>
      </c>
      <c r="K34" s="3">
        <f>IF($A34&gt;$D$17,"SI","NO")</f>
        <v/>
      </c>
      <c r="L34" s="4">
        <f>-MAX($A34-$D$17,0)*$F$17</f>
        <v/>
      </c>
      <c r="M34" s="4">
        <f>$E$17*$F$17+L34</f>
        <v/>
      </c>
      <c r="N34" s="4">
        <f>$D$18</f>
        <v/>
      </c>
      <c r="O34" s="4">
        <f>$E$18</f>
        <v/>
      </c>
      <c r="P34" s="3">
        <f>IF($A34&gt;$D$18,"ITM",IF($A34=$D$18,"ATM","OTM"))</f>
        <v/>
      </c>
      <c r="Q34" s="3">
        <f>IF($A34&gt;$D$18,"SI","NO")</f>
        <v/>
      </c>
      <c r="R34" s="4">
        <f>MAX($A34-$D$18,0)*$F$18</f>
        <v/>
      </c>
      <c r="S34" s="4">
        <f>R34-$E$18*$F$18</f>
        <v/>
      </c>
      <c r="T34" s="4">
        <f>F34+L34+R34</f>
        <v/>
      </c>
      <c r="U34" s="4">
        <f>G34+M34+S34</f>
        <v/>
      </c>
      <c r="V34" s="16">
        <f>U34*B7*B8</f>
        <v/>
      </c>
    </row>
    <row r="35">
      <c r="A35" s="4" t="n">
        <v>744.78</v>
      </c>
      <c r="B35" s="4">
        <f>$D$16</f>
        <v/>
      </c>
      <c r="C35" s="4">
        <f>$E$16</f>
        <v/>
      </c>
      <c r="D35" s="3">
        <f>IF($A35&gt;$D$16,"ITM",IF($A35=$D$16,"ATM","OTM"))</f>
        <v/>
      </c>
      <c r="E35" s="3">
        <f>IF($A35&gt;$D$16,"SI","NO")</f>
        <v/>
      </c>
      <c r="F35" s="4">
        <f>MAX($A35-$D$16,0)*$F$16</f>
        <v/>
      </c>
      <c r="G35" s="4">
        <f>F35-$E$16*$F$16</f>
        <v/>
      </c>
      <c r="H35" s="4">
        <f>$D$17</f>
        <v/>
      </c>
      <c r="I35" s="4">
        <f>$E$17</f>
        <v/>
      </c>
      <c r="J35" s="3">
        <f>IF($A35&gt;$D$17,"ITM",IF($A35=$D$17,"ATM","OTM"))</f>
        <v/>
      </c>
      <c r="K35" s="3">
        <f>IF($A35&gt;$D$17,"SI","NO")</f>
        <v/>
      </c>
      <c r="L35" s="4">
        <f>-MAX($A35-$D$17,0)*$F$17</f>
        <v/>
      </c>
      <c r="M35" s="4">
        <f>$E$17*$F$17+L35</f>
        <v/>
      </c>
      <c r="N35" s="4">
        <f>$D$18</f>
        <v/>
      </c>
      <c r="O35" s="4">
        <f>$E$18</f>
        <v/>
      </c>
      <c r="P35" s="3">
        <f>IF($A35&gt;$D$18,"ITM",IF($A35=$D$18,"ATM","OTM"))</f>
        <v/>
      </c>
      <c r="Q35" s="3">
        <f>IF($A35&gt;$D$18,"SI","NO")</f>
        <v/>
      </c>
      <c r="R35" s="4">
        <f>MAX($A35-$D$18,0)*$F$18</f>
        <v/>
      </c>
      <c r="S35" s="4">
        <f>R35-$E$18*$F$18</f>
        <v/>
      </c>
      <c r="T35" s="4">
        <f>F35+L35+R35</f>
        <v/>
      </c>
      <c r="U35" s="4">
        <f>G35+M35+S35</f>
        <v/>
      </c>
      <c r="V35" s="16">
        <f>U35*B7*B8</f>
        <v/>
      </c>
    </row>
    <row r="36">
      <c r="A36" s="4" t="n">
        <v>745</v>
      </c>
      <c r="B36" s="4">
        <f>$D$16</f>
        <v/>
      </c>
      <c r="C36" s="4">
        <f>$E$16</f>
        <v/>
      </c>
      <c r="D36" s="3">
        <f>IF($A36&gt;$D$16,"ITM",IF($A36=$D$16,"ATM","OTM"))</f>
        <v/>
      </c>
      <c r="E36" s="3">
        <f>IF($A36&gt;$D$16,"SI","NO")</f>
        <v/>
      </c>
      <c r="F36" s="4">
        <f>MAX($A36-$D$16,0)*$F$16</f>
        <v/>
      </c>
      <c r="G36" s="4">
        <f>F36-$E$16*$F$16</f>
        <v/>
      </c>
      <c r="H36" s="4">
        <f>$D$17</f>
        <v/>
      </c>
      <c r="I36" s="4">
        <f>$E$17</f>
        <v/>
      </c>
      <c r="J36" s="3">
        <f>IF($A36&gt;$D$17,"ITM",IF($A36=$D$17,"ATM","OTM"))</f>
        <v/>
      </c>
      <c r="K36" s="3">
        <f>IF($A36&gt;$D$17,"SI","NO")</f>
        <v/>
      </c>
      <c r="L36" s="4">
        <f>-MAX($A36-$D$17,0)*$F$17</f>
        <v/>
      </c>
      <c r="M36" s="4">
        <f>$E$17*$F$17+L36</f>
        <v/>
      </c>
      <c r="N36" s="4">
        <f>$D$18</f>
        <v/>
      </c>
      <c r="O36" s="4">
        <f>$E$18</f>
        <v/>
      </c>
      <c r="P36" s="3">
        <f>IF($A36&gt;$D$18,"ITM",IF($A36=$D$18,"ATM","OTM"))</f>
        <v/>
      </c>
      <c r="Q36" s="3">
        <f>IF($A36&gt;$D$18,"SI","NO")</f>
        <v/>
      </c>
      <c r="R36" s="4">
        <f>MAX($A36-$D$18,0)*$F$18</f>
        <v/>
      </c>
      <c r="S36" s="4">
        <f>R36-$E$18*$F$18</f>
        <v/>
      </c>
      <c r="T36" s="4">
        <f>F36+L36+R36</f>
        <v/>
      </c>
      <c r="U36" s="4">
        <f>G36+M36+S36</f>
        <v/>
      </c>
      <c r="V36" s="16">
        <f>U36*B7*B8</f>
        <v/>
      </c>
    </row>
    <row r="37">
      <c r="A37" s="4" t="n">
        <v>749.03</v>
      </c>
      <c r="B37" s="4">
        <f>$D$16</f>
        <v/>
      </c>
      <c r="C37" s="4">
        <f>$E$16</f>
        <v/>
      </c>
      <c r="D37" s="3">
        <f>IF($A37&gt;$D$16,"ITM",IF($A37=$D$16,"ATM","OTM"))</f>
        <v/>
      </c>
      <c r="E37" s="3">
        <f>IF($A37&gt;$D$16,"SI","NO")</f>
        <v/>
      </c>
      <c r="F37" s="4">
        <f>MAX($A37-$D$16,0)*$F$16</f>
        <v/>
      </c>
      <c r="G37" s="4">
        <f>F37-$E$16*$F$16</f>
        <v/>
      </c>
      <c r="H37" s="4">
        <f>$D$17</f>
        <v/>
      </c>
      <c r="I37" s="4">
        <f>$E$17</f>
        <v/>
      </c>
      <c r="J37" s="3">
        <f>IF($A37&gt;$D$17,"ITM",IF($A37=$D$17,"ATM","OTM"))</f>
        <v/>
      </c>
      <c r="K37" s="3">
        <f>IF($A37&gt;$D$17,"SI","NO")</f>
        <v/>
      </c>
      <c r="L37" s="4">
        <f>-MAX($A37-$D$17,0)*$F$17</f>
        <v/>
      </c>
      <c r="M37" s="4">
        <f>$E$17*$F$17+L37</f>
        <v/>
      </c>
      <c r="N37" s="4">
        <f>$D$18</f>
        <v/>
      </c>
      <c r="O37" s="4">
        <f>$E$18</f>
        <v/>
      </c>
      <c r="P37" s="3">
        <f>IF($A37&gt;$D$18,"ITM",IF($A37=$D$18,"ATM","OTM"))</f>
        <v/>
      </c>
      <c r="Q37" s="3">
        <f>IF($A37&gt;$D$18,"SI","NO")</f>
        <v/>
      </c>
      <c r="R37" s="4">
        <f>MAX($A37-$D$18,0)*$F$18</f>
        <v/>
      </c>
      <c r="S37" s="4">
        <f>R37-$E$18*$F$18</f>
        <v/>
      </c>
      <c r="T37" s="4">
        <f>F37+L37+R37</f>
        <v/>
      </c>
      <c r="U37" s="4">
        <f>G37+M37+S37</f>
        <v/>
      </c>
      <c r="V37" s="17">
        <f>U37*B7*B8</f>
        <v/>
      </c>
    </row>
    <row r="38">
      <c r="A38" s="4" t="n">
        <v>755</v>
      </c>
      <c r="B38" s="4">
        <f>$D$16</f>
        <v/>
      </c>
      <c r="C38" s="4">
        <f>$E$16</f>
        <v/>
      </c>
      <c r="D38" s="3">
        <f>IF($A38&gt;$D$16,"ITM",IF($A38=$D$16,"ATM","OTM"))</f>
        <v/>
      </c>
      <c r="E38" s="3">
        <f>IF($A38&gt;$D$16,"SI","NO")</f>
        <v/>
      </c>
      <c r="F38" s="4">
        <f>MAX($A38-$D$16,0)*$F$16</f>
        <v/>
      </c>
      <c r="G38" s="4">
        <f>F38-$E$16*$F$16</f>
        <v/>
      </c>
      <c r="H38" s="4">
        <f>$D$17</f>
        <v/>
      </c>
      <c r="I38" s="4">
        <f>$E$17</f>
        <v/>
      </c>
      <c r="J38" s="3">
        <f>IF($A38&gt;$D$17,"ITM",IF($A38=$D$17,"ATM","OTM"))</f>
        <v/>
      </c>
      <c r="K38" s="3">
        <f>IF($A38&gt;$D$17,"SI","NO")</f>
        <v/>
      </c>
      <c r="L38" s="4">
        <f>-MAX($A38-$D$17,0)*$F$17</f>
        <v/>
      </c>
      <c r="M38" s="4">
        <f>$E$17*$F$17+L38</f>
        <v/>
      </c>
      <c r="N38" s="4">
        <f>$D$18</f>
        <v/>
      </c>
      <c r="O38" s="4">
        <f>$E$18</f>
        <v/>
      </c>
      <c r="P38" s="3">
        <f>IF($A38&gt;$D$18,"ITM",IF($A38=$D$18,"ATM","OTM"))</f>
        <v/>
      </c>
      <c r="Q38" s="3">
        <f>IF($A38&gt;$D$18,"SI","NO")</f>
        <v/>
      </c>
      <c r="R38" s="4">
        <f>MAX($A38-$D$18,0)*$F$18</f>
        <v/>
      </c>
      <c r="S38" s="4">
        <f>R38-$E$18*$F$18</f>
        <v/>
      </c>
      <c r="T38" s="4">
        <f>F38+L38+R38</f>
        <v/>
      </c>
      <c r="U38" s="4">
        <f>G38+M38+S38</f>
        <v/>
      </c>
      <c r="V38" s="17">
        <f>U38*B7*B8</f>
        <v/>
      </c>
    </row>
    <row r="39">
      <c r="A39" s="4" t="n">
        <v>760.97</v>
      </c>
      <c r="B39" s="4">
        <f>$D$16</f>
        <v/>
      </c>
      <c r="C39" s="4">
        <f>$E$16</f>
        <v/>
      </c>
      <c r="D39" s="3">
        <f>IF($A39&gt;$D$16,"ITM",IF($A39=$D$16,"ATM","OTM"))</f>
        <v/>
      </c>
      <c r="E39" s="3">
        <f>IF($A39&gt;$D$16,"SI","NO")</f>
        <v/>
      </c>
      <c r="F39" s="4">
        <f>MAX($A39-$D$16,0)*$F$16</f>
        <v/>
      </c>
      <c r="G39" s="4">
        <f>F39-$E$16*$F$16</f>
        <v/>
      </c>
      <c r="H39" s="4">
        <f>$D$17</f>
        <v/>
      </c>
      <c r="I39" s="4">
        <f>$E$17</f>
        <v/>
      </c>
      <c r="J39" s="3">
        <f>IF($A39&gt;$D$17,"ITM",IF($A39=$D$17,"ATM","OTM"))</f>
        <v/>
      </c>
      <c r="K39" s="3">
        <f>IF($A39&gt;$D$17,"SI","NO")</f>
        <v/>
      </c>
      <c r="L39" s="4">
        <f>-MAX($A39-$D$17,0)*$F$17</f>
        <v/>
      </c>
      <c r="M39" s="4">
        <f>$E$17*$F$17+L39</f>
        <v/>
      </c>
      <c r="N39" s="4">
        <f>$D$18</f>
        <v/>
      </c>
      <c r="O39" s="4">
        <f>$E$18</f>
        <v/>
      </c>
      <c r="P39" s="3">
        <f>IF($A39&gt;$D$18,"ITM",IF($A39=$D$18,"ATM","OTM"))</f>
        <v/>
      </c>
      <c r="Q39" s="3">
        <f>IF($A39&gt;$D$18,"SI","NO")</f>
        <v/>
      </c>
      <c r="R39" s="4">
        <f>MAX($A39-$D$18,0)*$F$18</f>
        <v/>
      </c>
      <c r="S39" s="4">
        <f>R39-$E$18*$F$18</f>
        <v/>
      </c>
      <c r="T39" s="4">
        <f>F39+L39+R39</f>
        <v/>
      </c>
      <c r="U39" s="4">
        <f>G39+M39+S39</f>
        <v/>
      </c>
      <c r="V39" s="17">
        <f>U39*B7*B8</f>
        <v/>
      </c>
    </row>
    <row r="40">
      <c r="A40" s="4" t="n">
        <v>765</v>
      </c>
      <c r="B40" s="4">
        <f>$D$16</f>
        <v/>
      </c>
      <c r="C40" s="4">
        <f>$E$16</f>
        <v/>
      </c>
      <c r="D40" s="3">
        <f>IF($A40&gt;$D$16,"ITM",IF($A40=$D$16,"ATM","OTM"))</f>
        <v/>
      </c>
      <c r="E40" s="3">
        <f>IF($A40&gt;$D$16,"SI","NO")</f>
        <v/>
      </c>
      <c r="F40" s="4">
        <f>MAX($A40-$D$16,0)*$F$16</f>
        <v/>
      </c>
      <c r="G40" s="4">
        <f>F40-$E$16*$F$16</f>
        <v/>
      </c>
      <c r="H40" s="4">
        <f>$D$17</f>
        <v/>
      </c>
      <c r="I40" s="4">
        <f>$E$17</f>
        <v/>
      </c>
      <c r="J40" s="3">
        <f>IF($A40&gt;$D$17,"ITM",IF($A40=$D$17,"ATM","OTM"))</f>
        <v/>
      </c>
      <c r="K40" s="3">
        <f>IF($A40&gt;$D$17,"SI","NO")</f>
        <v/>
      </c>
      <c r="L40" s="4">
        <f>-MAX($A40-$D$17,0)*$F$17</f>
        <v/>
      </c>
      <c r="M40" s="4">
        <f>$E$17*$F$17+L40</f>
        <v/>
      </c>
      <c r="N40" s="4">
        <f>$D$18</f>
        <v/>
      </c>
      <c r="O40" s="4">
        <f>$E$18</f>
        <v/>
      </c>
      <c r="P40" s="3">
        <f>IF($A40&gt;$D$18,"ITM",IF($A40=$D$18,"ATM","OTM"))</f>
        <v/>
      </c>
      <c r="Q40" s="3">
        <f>IF($A40&gt;$D$18,"SI","NO")</f>
        <v/>
      </c>
      <c r="R40" s="4">
        <f>MAX($A40-$D$18,0)*$F$18</f>
        <v/>
      </c>
      <c r="S40" s="4">
        <f>R40-$E$18*$F$18</f>
        <v/>
      </c>
      <c r="T40" s="4">
        <f>F40+L40+R40</f>
        <v/>
      </c>
      <c r="U40" s="4">
        <f>G40+M40+S40</f>
        <v/>
      </c>
      <c r="V40" s="16">
        <f>U40*B7*B8</f>
        <v/>
      </c>
    </row>
    <row r="41">
      <c r="A41" s="4" t="n">
        <v>766.9299999999999</v>
      </c>
      <c r="B41" s="4">
        <f>$D$16</f>
        <v/>
      </c>
      <c r="C41" s="4">
        <f>$E$16</f>
        <v/>
      </c>
      <c r="D41" s="3">
        <f>IF($A41&gt;$D$16,"ITM",IF($A41=$D$16,"ATM","OTM"))</f>
        <v/>
      </c>
      <c r="E41" s="3">
        <f>IF($A41&gt;$D$16,"SI","NO")</f>
        <v/>
      </c>
      <c r="F41" s="4">
        <f>MAX($A41-$D$16,0)*$F$16</f>
        <v/>
      </c>
      <c r="G41" s="4">
        <f>F41-$E$16*$F$16</f>
        <v/>
      </c>
      <c r="H41" s="4">
        <f>$D$17</f>
        <v/>
      </c>
      <c r="I41" s="4">
        <f>$E$17</f>
        <v/>
      </c>
      <c r="J41" s="3">
        <f>IF($A41&gt;$D$17,"ITM",IF($A41=$D$17,"ATM","OTM"))</f>
        <v/>
      </c>
      <c r="K41" s="3">
        <f>IF($A41&gt;$D$17,"SI","NO")</f>
        <v/>
      </c>
      <c r="L41" s="4">
        <f>-MAX($A41-$D$17,0)*$F$17</f>
        <v/>
      </c>
      <c r="M41" s="4">
        <f>$E$17*$F$17+L41</f>
        <v/>
      </c>
      <c r="N41" s="4">
        <f>$D$18</f>
        <v/>
      </c>
      <c r="O41" s="4">
        <f>$E$18</f>
        <v/>
      </c>
      <c r="P41" s="3">
        <f>IF($A41&gt;$D$18,"ITM",IF($A41=$D$18,"ATM","OTM"))</f>
        <v/>
      </c>
      <c r="Q41" s="3">
        <f>IF($A41&gt;$D$18,"SI","NO")</f>
        <v/>
      </c>
      <c r="R41" s="4">
        <f>MAX($A41-$D$18,0)*$F$18</f>
        <v/>
      </c>
      <c r="S41" s="4">
        <f>R41-$E$18*$F$18</f>
        <v/>
      </c>
      <c r="T41" s="4">
        <f>F41+L41+R41</f>
        <v/>
      </c>
      <c r="U41" s="4">
        <f>G41+M41+S41</f>
        <v/>
      </c>
      <c r="V41" s="16">
        <f>U41*B7*B8</f>
        <v/>
      </c>
    </row>
    <row r="42">
      <c r="A42" s="4" t="n">
        <v>772.9</v>
      </c>
      <c r="B42" s="4">
        <f>$D$16</f>
        <v/>
      </c>
      <c r="C42" s="4">
        <f>$E$16</f>
        <v/>
      </c>
      <c r="D42" s="3">
        <f>IF($A42&gt;$D$16,"ITM",IF($A42=$D$16,"ATM","OTM"))</f>
        <v/>
      </c>
      <c r="E42" s="3">
        <f>IF($A42&gt;$D$16,"SI","NO")</f>
        <v/>
      </c>
      <c r="F42" s="4">
        <f>MAX($A42-$D$16,0)*$F$16</f>
        <v/>
      </c>
      <c r="G42" s="4">
        <f>F42-$E$16*$F$16</f>
        <v/>
      </c>
      <c r="H42" s="4">
        <f>$D$17</f>
        <v/>
      </c>
      <c r="I42" s="4">
        <f>$E$17</f>
        <v/>
      </c>
      <c r="J42" s="3">
        <f>IF($A42&gt;$D$17,"ITM",IF($A42=$D$17,"ATM","OTM"))</f>
        <v/>
      </c>
      <c r="K42" s="3">
        <f>IF($A42&gt;$D$17,"SI","NO")</f>
        <v/>
      </c>
      <c r="L42" s="4">
        <f>-MAX($A42-$D$17,0)*$F$17</f>
        <v/>
      </c>
      <c r="M42" s="4">
        <f>$E$17*$F$17+L42</f>
        <v/>
      </c>
      <c r="N42" s="4">
        <f>$D$18</f>
        <v/>
      </c>
      <c r="O42" s="4">
        <f>$E$18</f>
        <v/>
      </c>
      <c r="P42" s="3">
        <f>IF($A42&gt;$D$18,"ITM",IF($A42=$D$18,"ATM","OTM"))</f>
        <v/>
      </c>
      <c r="Q42" s="3">
        <f>IF($A42&gt;$D$18,"SI","NO")</f>
        <v/>
      </c>
      <c r="R42" s="4">
        <f>MAX($A42-$D$18,0)*$F$18</f>
        <v/>
      </c>
      <c r="S42" s="4">
        <f>R42-$E$18*$F$18</f>
        <v/>
      </c>
      <c r="T42" s="4">
        <f>F42+L42+R42</f>
        <v/>
      </c>
      <c r="U42" s="4">
        <f>G42+M42+S42</f>
        <v/>
      </c>
      <c r="V42" s="16">
        <f>U42*B7*B8</f>
        <v/>
      </c>
    </row>
    <row r="43">
      <c r="A43" s="4" t="n">
        <v>778.86</v>
      </c>
      <c r="B43" s="4">
        <f>$D$16</f>
        <v/>
      </c>
      <c r="C43" s="4">
        <f>$E$16</f>
        <v/>
      </c>
      <c r="D43" s="3">
        <f>IF($A43&gt;$D$16,"ITM",IF($A43=$D$16,"ATM","OTM"))</f>
        <v/>
      </c>
      <c r="E43" s="3">
        <f>IF($A43&gt;$D$16,"SI","NO")</f>
        <v/>
      </c>
      <c r="F43" s="4">
        <f>MAX($A43-$D$16,0)*$F$16</f>
        <v/>
      </c>
      <c r="G43" s="4">
        <f>F43-$E$16*$F$16</f>
        <v/>
      </c>
      <c r="H43" s="4">
        <f>$D$17</f>
        <v/>
      </c>
      <c r="I43" s="4">
        <f>$E$17</f>
        <v/>
      </c>
      <c r="J43" s="3">
        <f>IF($A43&gt;$D$17,"ITM",IF($A43=$D$17,"ATM","OTM"))</f>
        <v/>
      </c>
      <c r="K43" s="3">
        <f>IF($A43&gt;$D$17,"SI","NO")</f>
        <v/>
      </c>
      <c r="L43" s="4">
        <f>-MAX($A43-$D$17,0)*$F$17</f>
        <v/>
      </c>
      <c r="M43" s="4">
        <f>$E$17*$F$17+L43</f>
        <v/>
      </c>
      <c r="N43" s="4">
        <f>$D$18</f>
        <v/>
      </c>
      <c r="O43" s="4">
        <f>$E$18</f>
        <v/>
      </c>
      <c r="P43" s="3">
        <f>IF($A43&gt;$D$18,"ITM",IF($A43=$D$18,"ATM","OTM"))</f>
        <v/>
      </c>
      <c r="Q43" s="3">
        <f>IF($A43&gt;$D$18,"SI","NO")</f>
        <v/>
      </c>
      <c r="R43" s="4">
        <f>MAX($A43-$D$18,0)*$F$18</f>
        <v/>
      </c>
      <c r="S43" s="4">
        <f>R43-$E$18*$F$18</f>
        <v/>
      </c>
      <c r="T43" s="4">
        <f>F43+L43+R43</f>
        <v/>
      </c>
      <c r="U43" s="4">
        <f>G43+M43+S43</f>
        <v/>
      </c>
      <c r="V43" s="16">
        <f>U43*B7*B8</f>
        <v/>
      </c>
    </row>
    <row r="44">
      <c r="A44" s="4" t="n">
        <v>784.83</v>
      </c>
      <c r="B44" s="4">
        <f>$D$16</f>
        <v/>
      </c>
      <c r="C44" s="4">
        <f>$E$16</f>
        <v/>
      </c>
      <c r="D44" s="3">
        <f>IF($A44&gt;$D$16,"ITM",IF($A44=$D$16,"ATM","OTM"))</f>
        <v/>
      </c>
      <c r="E44" s="3">
        <f>IF($A44&gt;$D$16,"SI","NO")</f>
        <v/>
      </c>
      <c r="F44" s="4">
        <f>MAX($A44-$D$16,0)*$F$16</f>
        <v/>
      </c>
      <c r="G44" s="4">
        <f>F44-$E$16*$F$16</f>
        <v/>
      </c>
      <c r="H44" s="4">
        <f>$D$17</f>
        <v/>
      </c>
      <c r="I44" s="4">
        <f>$E$17</f>
        <v/>
      </c>
      <c r="J44" s="3">
        <f>IF($A44&gt;$D$17,"ITM",IF($A44=$D$17,"ATM","OTM"))</f>
        <v/>
      </c>
      <c r="K44" s="3">
        <f>IF($A44&gt;$D$17,"SI","NO")</f>
        <v/>
      </c>
      <c r="L44" s="4">
        <f>-MAX($A44-$D$17,0)*$F$17</f>
        <v/>
      </c>
      <c r="M44" s="4">
        <f>$E$17*$F$17+L44</f>
        <v/>
      </c>
      <c r="N44" s="4">
        <f>$D$18</f>
        <v/>
      </c>
      <c r="O44" s="4">
        <f>$E$18</f>
        <v/>
      </c>
      <c r="P44" s="3">
        <f>IF($A44&gt;$D$18,"ITM",IF($A44=$D$18,"ATM","OTM"))</f>
        <v/>
      </c>
      <c r="Q44" s="3">
        <f>IF($A44&gt;$D$18,"SI","NO")</f>
        <v/>
      </c>
      <c r="R44" s="4">
        <f>MAX($A44-$D$18,0)*$F$18</f>
        <v/>
      </c>
      <c r="S44" s="4">
        <f>R44-$E$18*$F$18</f>
        <v/>
      </c>
      <c r="T44" s="4">
        <f>F44+L44+R44</f>
        <v/>
      </c>
      <c r="U44" s="4">
        <f>G44+M44+S44</f>
        <v/>
      </c>
      <c r="V44" s="16">
        <f>U44*B7*B8</f>
        <v/>
      </c>
    </row>
    <row r="45">
      <c r="A45" s="4" t="n">
        <v>790.79</v>
      </c>
      <c r="B45" s="4">
        <f>$D$16</f>
        <v/>
      </c>
      <c r="C45" s="4">
        <f>$E$16</f>
        <v/>
      </c>
      <c r="D45" s="3">
        <f>IF($A45&gt;$D$16,"ITM",IF($A45=$D$16,"ATM","OTM"))</f>
        <v/>
      </c>
      <c r="E45" s="3">
        <f>IF($A45&gt;$D$16,"SI","NO")</f>
        <v/>
      </c>
      <c r="F45" s="4">
        <f>MAX($A45-$D$16,0)*$F$16</f>
        <v/>
      </c>
      <c r="G45" s="4">
        <f>F45-$E$16*$F$16</f>
        <v/>
      </c>
      <c r="H45" s="4">
        <f>$D$17</f>
        <v/>
      </c>
      <c r="I45" s="4">
        <f>$E$17</f>
        <v/>
      </c>
      <c r="J45" s="3">
        <f>IF($A45&gt;$D$17,"ITM",IF($A45=$D$17,"ATM","OTM"))</f>
        <v/>
      </c>
      <c r="K45" s="3">
        <f>IF($A45&gt;$D$17,"SI","NO")</f>
        <v/>
      </c>
      <c r="L45" s="4">
        <f>-MAX($A45-$D$17,0)*$F$17</f>
        <v/>
      </c>
      <c r="M45" s="4">
        <f>$E$17*$F$17+L45</f>
        <v/>
      </c>
      <c r="N45" s="4">
        <f>$D$18</f>
        <v/>
      </c>
      <c r="O45" s="4">
        <f>$E$18</f>
        <v/>
      </c>
      <c r="P45" s="3">
        <f>IF($A45&gt;$D$18,"ITM",IF($A45=$D$18,"ATM","OTM"))</f>
        <v/>
      </c>
      <c r="Q45" s="3">
        <f>IF($A45&gt;$D$18,"SI","NO")</f>
        <v/>
      </c>
      <c r="R45" s="4">
        <f>MAX($A45-$D$18,0)*$F$18</f>
        <v/>
      </c>
      <c r="S45" s="4">
        <f>R45-$E$18*$F$18</f>
        <v/>
      </c>
      <c r="T45" s="4">
        <f>F45+L45+R45</f>
        <v/>
      </c>
      <c r="U45" s="4">
        <f>G45+M45+S45</f>
        <v/>
      </c>
      <c r="V45" s="16">
        <f>U45*B7*B8</f>
        <v/>
      </c>
    </row>
    <row r="46">
      <c r="A46" s="4" t="n">
        <v>796.76</v>
      </c>
      <c r="B46" s="4">
        <f>$D$16</f>
        <v/>
      </c>
      <c r="C46" s="4">
        <f>$E$16</f>
        <v/>
      </c>
      <c r="D46" s="3">
        <f>IF($A46&gt;$D$16,"ITM",IF($A46=$D$16,"ATM","OTM"))</f>
        <v/>
      </c>
      <c r="E46" s="3">
        <f>IF($A46&gt;$D$16,"SI","NO")</f>
        <v/>
      </c>
      <c r="F46" s="4">
        <f>MAX($A46-$D$16,0)*$F$16</f>
        <v/>
      </c>
      <c r="G46" s="4">
        <f>F46-$E$16*$F$16</f>
        <v/>
      </c>
      <c r="H46" s="4">
        <f>$D$17</f>
        <v/>
      </c>
      <c r="I46" s="4">
        <f>$E$17</f>
        <v/>
      </c>
      <c r="J46" s="3">
        <f>IF($A46&gt;$D$17,"ITM",IF($A46=$D$17,"ATM","OTM"))</f>
        <v/>
      </c>
      <c r="K46" s="3">
        <f>IF($A46&gt;$D$17,"SI","NO")</f>
        <v/>
      </c>
      <c r="L46" s="4">
        <f>-MAX($A46-$D$17,0)*$F$17</f>
        <v/>
      </c>
      <c r="M46" s="4">
        <f>$E$17*$F$17+L46</f>
        <v/>
      </c>
      <c r="N46" s="4">
        <f>$D$18</f>
        <v/>
      </c>
      <c r="O46" s="4">
        <f>$E$18</f>
        <v/>
      </c>
      <c r="P46" s="3">
        <f>IF($A46&gt;$D$18,"ITM",IF($A46=$D$18,"ATM","OTM"))</f>
        <v/>
      </c>
      <c r="Q46" s="3">
        <f>IF($A46&gt;$D$18,"SI","NO")</f>
        <v/>
      </c>
      <c r="R46" s="4">
        <f>MAX($A46-$D$18,0)*$F$18</f>
        <v/>
      </c>
      <c r="S46" s="4">
        <f>R46-$E$18*$F$18</f>
        <v/>
      </c>
      <c r="T46" s="4">
        <f>F46+L46+R46</f>
        <v/>
      </c>
      <c r="U46" s="4">
        <f>G46+M46+S46</f>
        <v/>
      </c>
      <c r="V46" s="16">
        <f>U46*B7*B8</f>
        <v/>
      </c>
    </row>
    <row r="47">
      <c r="A47" s="4" t="n">
        <v>802.73</v>
      </c>
      <c r="B47" s="4">
        <f>$D$16</f>
        <v/>
      </c>
      <c r="C47" s="4">
        <f>$E$16</f>
        <v/>
      </c>
      <c r="D47" s="3">
        <f>IF($A47&gt;$D$16,"ITM",IF($A47=$D$16,"ATM","OTM"))</f>
        <v/>
      </c>
      <c r="E47" s="3">
        <f>IF($A47&gt;$D$16,"SI","NO")</f>
        <v/>
      </c>
      <c r="F47" s="4">
        <f>MAX($A47-$D$16,0)*$F$16</f>
        <v/>
      </c>
      <c r="G47" s="4">
        <f>F47-$E$16*$F$16</f>
        <v/>
      </c>
      <c r="H47" s="4">
        <f>$D$17</f>
        <v/>
      </c>
      <c r="I47" s="4">
        <f>$E$17</f>
        <v/>
      </c>
      <c r="J47" s="3">
        <f>IF($A47&gt;$D$17,"ITM",IF($A47=$D$17,"ATM","OTM"))</f>
        <v/>
      </c>
      <c r="K47" s="3">
        <f>IF($A47&gt;$D$17,"SI","NO")</f>
        <v/>
      </c>
      <c r="L47" s="4">
        <f>-MAX($A47-$D$17,0)*$F$17</f>
        <v/>
      </c>
      <c r="M47" s="4">
        <f>$E$17*$F$17+L47</f>
        <v/>
      </c>
      <c r="N47" s="4">
        <f>$D$18</f>
        <v/>
      </c>
      <c r="O47" s="4">
        <f>$E$18</f>
        <v/>
      </c>
      <c r="P47" s="3">
        <f>IF($A47&gt;$D$18,"ITM",IF($A47=$D$18,"ATM","OTM"))</f>
        <v/>
      </c>
      <c r="Q47" s="3">
        <f>IF($A47&gt;$D$18,"SI","NO")</f>
        <v/>
      </c>
      <c r="R47" s="4">
        <f>MAX($A47-$D$18,0)*$F$18</f>
        <v/>
      </c>
      <c r="S47" s="4">
        <f>R47-$E$18*$F$18</f>
        <v/>
      </c>
      <c r="T47" s="4">
        <f>F47+L47+R47</f>
        <v/>
      </c>
      <c r="U47" s="4">
        <f>G47+M47+S47</f>
        <v/>
      </c>
      <c r="V47" s="16">
        <f>U47*B7*B8</f>
        <v/>
      </c>
    </row>
    <row r="48">
      <c r="A48" s="4" t="n">
        <v>808.6900000000001</v>
      </c>
      <c r="B48" s="4">
        <f>$D$16</f>
        <v/>
      </c>
      <c r="C48" s="4">
        <f>$E$16</f>
        <v/>
      </c>
      <c r="D48" s="3">
        <f>IF($A48&gt;$D$16,"ITM",IF($A48=$D$16,"ATM","OTM"))</f>
        <v/>
      </c>
      <c r="E48" s="3">
        <f>IF($A48&gt;$D$16,"SI","NO")</f>
        <v/>
      </c>
      <c r="F48" s="4">
        <f>MAX($A48-$D$16,0)*$F$16</f>
        <v/>
      </c>
      <c r="G48" s="4">
        <f>F48-$E$16*$F$16</f>
        <v/>
      </c>
      <c r="H48" s="4">
        <f>$D$17</f>
        <v/>
      </c>
      <c r="I48" s="4">
        <f>$E$17</f>
        <v/>
      </c>
      <c r="J48" s="3">
        <f>IF($A48&gt;$D$17,"ITM",IF($A48=$D$17,"ATM","OTM"))</f>
        <v/>
      </c>
      <c r="K48" s="3">
        <f>IF($A48&gt;$D$17,"SI","NO")</f>
        <v/>
      </c>
      <c r="L48" s="4">
        <f>-MAX($A48-$D$17,0)*$F$17</f>
        <v/>
      </c>
      <c r="M48" s="4">
        <f>$E$17*$F$17+L48</f>
        <v/>
      </c>
      <c r="N48" s="4">
        <f>$D$18</f>
        <v/>
      </c>
      <c r="O48" s="4">
        <f>$E$18</f>
        <v/>
      </c>
      <c r="P48" s="3">
        <f>IF($A48&gt;$D$18,"ITM",IF($A48=$D$18,"ATM","OTM"))</f>
        <v/>
      </c>
      <c r="Q48" s="3">
        <f>IF($A48&gt;$D$18,"SI","NO")</f>
        <v/>
      </c>
      <c r="R48" s="4">
        <f>MAX($A48-$D$18,0)*$F$18</f>
        <v/>
      </c>
      <c r="S48" s="4">
        <f>R48-$E$18*$F$18</f>
        <v/>
      </c>
      <c r="T48" s="4">
        <f>F48+L48+R48</f>
        <v/>
      </c>
      <c r="U48" s="4">
        <f>G48+M48+S48</f>
        <v/>
      </c>
      <c r="V48" s="16">
        <f>U48*B7*B8</f>
        <v/>
      </c>
    </row>
    <row r="49">
      <c r="A49" s="4" t="n">
        <v>814.66</v>
      </c>
      <c r="B49" s="4">
        <f>$D$16</f>
        <v/>
      </c>
      <c r="C49" s="4">
        <f>$E$16</f>
        <v/>
      </c>
      <c r="D49" s="3">
        <f>IF($A49&gt;$D$16,"ITM",IF($A49=$D$16,"ATM","OTM"))</f>
        <v/>
      </c>
      <c r="E49" s="3">
        <f>IF($A49&gt;$D$16,"SI","NO")</f>
        <v/>
      </c>
      <c r="F49" s="4">
        <f>MAX($A49-$D$16,0)*$F$16</f>
        <v/>
      </c>
      <c r="G49" s="4">
        <f>F49-$E$16*$F$16</f>
        <v/>
      </c>
      <c r="H49" s="4">
        <f>$D$17</f>
        <v/>
      </c>
      <c r="I49" s="4">
        <f>$E$17</f>
        <v/>
      </c>
      <c r="J49" s="3">
        <f>IF($A49&gt;$D$17,"ITM",IF($A49=$D$17,"ATM","OTM"))</f>
        <v/>
      </c>
      <c r="K49" s="3">
        <f>IF($A49&gt;$D$17,"SI","NO")</f>
        <v/>
      </c>
      <c r="L49" s="4">
        <f>-MAX($A49-$D$17,0)*$F$17</f>
        <v/>
      </c>
      <c r="M49" s="4">
        <f>$E$17*$F$17+L49</f>
        <v/>
      </c>
      <c r="N49" s="4">
        <f>$D$18</f>
        <v/>
      </c>
      <c r="O49" s="4">
        <f>$E$18</f>
        <v/>
      </c>
      <c r="P49" s="3">
        <f>IF($A49&gt;$D$18,"ITM",IF($A49=$D$18,"ATM","OTM"))</f>
        <v/>
      </c>
      <c r="Q49" s="3">
        <f>IF($A49&gt;$D$18,"SI","NO")</f>
        <v/>
      </c>
      <c r="R49" s="4">
        <f>MAX($A49-$D$18,0)*$F$18</f>
        <v/>
      </c>
      <c r="S49" s="4">
        <f>R49-$E$18*$F$18</f>
        <v/>
      </c>
      <c r="T49" s="4">
        <f>F49+L49+R49</f>
        <v/>
      </c>
      <c r="U49" s="4">
        <f>G49+M49+S49</f>
        <v/>
      </c>
      <c r="V49" s="16">
        <f>U49*B7*B8</f>
        <v/>
      </c>
    </row>
    <row r="50">
      <c r="A50" s="4" t="n">
        <v>820.62</v>
      </c>
      <c r="B50" s="4">
        <f>$D$16</f>
        <v/>
      </c>
      <c r="C50" s="4">
        <f>$E$16</f>
        <v/>
      </c>
      <c r="D50" s="3">
        <f>IF($A50&gt;$D$16,"ITM",IF($A50=$D$16,"ATM","OTM"))</f>
        <v/>
      </c>
      <c r="E50" s="3">
        <f>IF($A50&gt;$D$16,"SI","NO")</f>
        <v/>
      </c>
      <c r="F50" s="4">
        <f>MAX($A50-$D$16,0)*$F$16</f>
        <v/>
      </c>
      <c r="G50" s="4">
        <f>F50-$E$16*$F$16</f>
        <v/>
      </c>
      <c r="H50" s="4">
        <f>$D$17</f>
        <v/>
      </c>
      <c r="I50" s="4">
        <f>$E$17</f>
        <v/>
      </c>
      <c r="J50" s="3">
        <f>IF($A50&gt;$D$17,"ITM",IF($A50=$D$17,"ATM","OTM"))</f>
        <v/>
      </c>
      <c r="K50" s="3">
        <f>IF($A50&gt;$D$17,"SI","NO")</f>
        <v/>
      </c>
      <c r="L50" s="4">
        <f>-MAX($A50-$D$17,0)*$F$17</f>
        <v/>
      </c>
      <c r="M50" s="4">
        <f>$E$17*$F$17+L50</f>
        <v/>
      </c>
      <c r="N50" s="4">
        <f>$D$18</f>
        <v/>
      </c>
      <c r="O50" s="4">
        <f>$E$18</f>
        <v/>
      </c>
      <c r="P50" s="3">
        <f>IF($A50&gt;$D$18,"ITM",IF($A50=$D$18,"ATM","OTM"))</f>
        <v/>
      </c>
      <c r="Q50" s="3">
        <f>IF($A50&gt;$D$18,"SI","NO")</f>
        <v/>
      </c>
      <c r="R50" s="4">
        <f>MAX($A50-$D$18,0)*$F$18</f>
        <v/>
      </c>
      <c r="S50" s="4">
        <f>R50-$E$18*$F$18</f>
        <v/>
      </c>
      <c r="T50" s="4">
        <f>F50+L50+R50</f>
        <v/>
      </c>
      <c r="U50" s="4">
        <f>G50+M50+S50</f>
        <v/>
      </c>
      <c r="V50" s="16">
        <f>U50*B7*B8</f>
        <v/>
      </c>
    </row>
    <row r="52">
      <c r="A52" s="11" t="inlineStr">
        <is>
          <t>RESUMEN DE LA ESTRATEGIA</t>
        </is>
      </c>
    </row>
    <row r="53">
      <c r="A53" s="13" t="inlineStr">
        <is>
          <t>Break-even(s)</t>
        </is>
      </c>
      <c r="C53" t="inlineStr">
        <is>
          <t>746.12, 763.92</t>
        </is>
      </c>
    </row>
    <row r="54">
      <c r="A54" s="13" t="inlineStr">
        <is>
          <t>Ganancia maxima (USD)</t>
        </is>
      </c>
      <c r="C54" s="15">
        <f>MAX(V25:V50)</f>
        <v/>
      </c>
    </row>
    <row r="55">
      <c r="A55" s="13" t="inlineStr">
        <is>
          <t>Perdida maxima (USD)</t>
        </is>
      </c>
      <c r="C55" s="15">
        <f>MIN(V25:V50)</f>
        <v/>
      </c>
    </row>
    <row r="56">
      <c r="A56" s="13" t="inlineStr">
        <is>
          <t>Prima neta total (USD)</t>
        </is>
      </c>
      <c r="C56" s="15">
        <f>E21</f>
        <v/>
      </c>
    </row>
    <row r="57">
      <c r="A57" s="13" t="inlineStr">
        <is>
          <t>Capital en riesgo (USD)</t>
        </is>
      </c>
      <c r="C57" t="n">
        <v>5500</v>
      </c>
    </row>
    <row r="59">
      <c r="A59" s="11" t="inlineStr">
        <is>
          <t>RESULTADO POR ESCENARIO (al vencimiento)</t>
        </is>
      </c>
    </row>
    <row r="60">
      <c r="A60" s="2" t="inlineStr">
        <is>
          <t>Escenario</t>
        </is>
      </c>
      <c r="B60" s="2" t="inlineStr">
        <is>
          <t>ST asumido</t>
        </is>
      </c>
      <c r="C60" s="2" t="inlineStr">
        <is>
          <t>GoP total (USD)</t>
        </is>
      </c>
      <c r="D60" s="2" t="inlineStr">
        <is>
          <t>Rent. s/ capital riesgo</t>
        </is>
      </c>
    </row>
    <row r="61">
      <c r="A61" s="3" t="inlineStr">
        <is>
          <t>Optimista</t>
        </is>
      </c>
      <c r="B61" s="4" t="n">
        <v>755</v>
      </c>
      <c r="C61" s="17" t="n">
        <v>44500</v>
      </c>
      <c r="D61" s="6" t="n">
        <v>8.090909090909083</v>
      </c>
    </row>
    <row r="62">
      <c r="A62" s="3" t="inlineStr">
        <is>
          <t>Base</t>
        </is>
      </c>
      <c r="B62" s="4" t="n">
        <v>744.78</v>
      </c>
      <c r="C62" s="16" t="n">
        <v>-5500</v>
      </c>
      <c r="D62" s="6" t="n">
        <v>-0.9999999999999967</v>
      </c>
    </row>
    <row r="63">
      <c r="A63" s="3" t="inlineStr">
        <is>
          <t>Pesimista</t>
        </is>
      </c>
      <c r="B63" s="4" t="n">
        <v>789.47</v>
      </c>
      <c r="C63" s="16" t="n">
        <v>-5500</v>
      </c>
      <c r="D63" s="6" t="n">
        <v>-0.9999999999999967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NVDA — Bear Call Spread 195/200</t>
        </is>
      </c>
    </row>
    <row r="2">
      <c r="A2" s="12" t="inlineStr">
        <is>
          <t>Bear Call Spread  ·  Sesgo: Bajista / neutral  ·  Confianza: Media (a evaluar por IV)</t>
        </is>
      </c>
    </row>
    <row r="4">
      <c r="A4" s="11" t="inlineStr">
        <is>
          <t>PARAMETROS</t>
        </is>
      </c>
    </row>
    <row r="5">
      <c r="A5" s="13" t="inlineStr">
        <is>
          <t>Subyacente</t>
        </is>
      </c>
      <c r="B5" t="inlineStr">
        <is>
          <t>NVDA</t>
        </is>
      </c>
    </row>
    <row r="6">
      <c r="A6" s="13" t="inlineStr">
        <is>
          <t>Spot de entrada (2-jul-2026)</t>
        </is>
      </c>
      <c r="B6" t="n">
        <v>194.83</v>
      </c>
    </row>
    <row r="7">
      <c r="A7" s="13" t="inlineStr">
        <is>
          <t>Contratos</t>
        </is>
      </c>
      <c r="B7" t="n">
        <v>40</v>
      </c>
    </row>
    <row r="8">
      <c r="A8" s="13" t="inlineStr">
        <is>
          <t>Acciones por contrato</t>
        </is>
      </c>
      <c r="B8" t="n">
        <v>100</v>
      </c>
    </row>
    <row r="9">
      <c r="A9" s="13" t="inlineStr">
        <is>
          <t>Total de acciones</t>
        </is>
      </c>
      <c r="B9">
        <f>B7*B8</f>
        <v/>
      </c>
    </row>
    <row r="10">
      <c r="A10" s="13" t="inlineStr">
        <is>
          <t>Vencimiento</t>
        </is>
      </c>
      <c r="B10" t="inlineStr">
        <is>
          <t>2026-07-10</t>
        </is>
      </c>
    </row>
    <row r="11">
      <c r="A11" s="13" t="inlineStr">
        <is>
          <t>r (anual)</t>
        </is>
      </c>
      <c r="B11" t="n">
        <v>0.045</v>
      </c>
    </row>
    <row r="12">
      <c r="A12" s="13" t="inlineStr">
        <is>
          <t>T (anios)</t>
        </is>
      </c>
      <c r="B12" t="n">
        <v>0.0219</v>
      </c>
    </row>
    <row r="14">
      <c r="A14" s="11" t="inlineStr">
        <is>
          <t>PATAS DE LA ESTRATEGIA</t>
        </is>
      </c>
    </row>
    <row r="15">
      <c r="A15" s="2" t="inlineStr">
        <is>
          <t>Pata</t>
        </is>
      </c>
      <c r="B15" s="2" t="inlineStr">
        <is>
          <t>Tipo</t>
        </is>
      </c>
      <c r="C15" s="2" t="inlineStr">
        <is>
          <t>Lado</t>
        </is>
      </c>
      <c r="D15" s="2" t="inlineStr">
        <is>
          <t>Strike (K)</t>
        </is>
      </c>
      <c r="E15" s="2" t="inlineStr">
        <is>
          <t>Prima/accion</t>
        </is>
      </c>
      <c r="F15" s="2" t="inlineStr">
        <is>
          <t>Mult</t>
        </is>
      </c>
    </row>
    <row r="16">
      <c r="A16" s="3" t="inlineStr">
        <is>
          <t>P1</t>
        </is>
      </c>
      <c r="B16" s="3" t="inlineStr">
        <is>
          <t>CALL</t>
        </is>
      </c>
      <c r="C16" s="3" t="inlineStr">
        <is>
          <t>SHORT</t>
        </is>
      </c>
      <c r="D16" s="3" t="n">
        <v>195</v>
      </c>
      <c r="E16" s="3" t="n">
        <v>4.05</v>
      </c>
      <c r="F16" s="3" t="n">
        <v>1</v>
      </c>
    </row>
    <row r="17">
      <c r="A17" s="3" t="inlineStr">
        <is>
          <t>P2</t>
        </is>
      </c>
      <c r="B17" s="3" t="inlineStr">
        <is>
          <t>CALL</t>
        </is>
      </c>
      <c r="C17" s="3" t="inlineStr">
        <is>
          <t>LONG</t>
        </is>
      </c>
      <c r="D17" s="3" t="n">
        <v>200</v>
      </c>
      <c r="E17" s="3" t="n">
        <v>1.92</v>
      </c>
      <c r="F17" s="3" t="n">
        <v>1</v>
      </c>
    </row>
    <row r="19">
      <c r="A19" s="13" t="inlineStr">
        <is>
          <t>Prima neta / accion (cred + / deb -)</t>
        </is>
      </c>
      <c r="E19" s="14">
        <f>E16*F16-E17*F17</f>
        <v/>
      </c>
    </row>
    <row r="20">
      <c r="A20" s="13" t="inlineStr">
        <is>
          <t>Prima neta total (USD)</t>
        </is>
      </c>
      <c r="E20" s="15">
        <f>E19*B7*B8</f>
        <v/>
      </c>
    </row>
    <row r="22">
      <c r="A22" s="11" t="inlineStr">
        <is>
          <t>TABLA DE PAYOFF AL VENCIMIENTO</t>
        </is>
      </c>
    </row>
    <row r="23">
      <c r="A23" s="2" t="inlineStr">
        <is>
          <t>ST (Spot)</t>
        </is>
      </c>
      <c r="B23" s="2" t="inlineStr">
        <is>
          <t>P1 K</t>
        </is>
      </c>
      <c r="C23" s="2" t="inlineStr">
        <is>
          <t>P1 Prima</t>
        </is>
      </c>
      <c r="D23" s="2" t="inlineStr">
        <is>
          <t>P1 Moneyness</t>
        </is>
      </c>
      <c r="E23" s="2" t="inlineStr">
        <is>
          <t>P1 Ejerce</t>
        </is>
      </c>
      <c r="F23" s="2" t="inlineStr">
        <is>
          <t>P1 Payoff/acc</t>
        </is>
      </c>
      <c r="G23" s="2" t="inlineStr">
        <is>
          <t>P1 GoP/acc</t>
        </is>
      </c>
      <c r="H23" s="2" t="inlineStr">
        <is>
          <t>P2 K</t>
        </is>
      </c>
      <c r="I23" s="2" t="inlineStr">
        <is>
          <t>P2 Prima</t>
        </is>
      </c>
      <c r="J23" s="2" t="inlineStr">
        <is>
          <t>P2 Moneyness</t>
        </is>
      </c>
      <c r="K23" s="2" t="inlineStr">
        <is>
          <t>P2 Ejerce</t>
        </is>
      </c>
      <c r="L23" s="2" t="inlineStr">
        <is>
          <t>P2 Payoff/acc</t>
        </is>
      </c>
      <c r="M23" s="2" t="inlineStr">
        <is>
          <t>P2 GoP/acc</t>
        </is>
      </c>
      <c r="N23" s="2" t="inlineStr">
        <is>
          <t>Payoff neto/acc</t>
        </is>
      </c>
      <c r="O23" s="2" t="inlineStr">
        <is>
          <t>GoP neto/acc</t>
        </is>
      </c>
      <c r="P23" s="2" t="inlineStr">
        <is>
          <t>GoP TOTAL (USD)</t>
        </is>
      </c>
    </row>
    <row r="24">
      <c r="A24" s="4" t="n">
        <v>178.97</v>
      </c>
      <c r="B24" s="4">
        <f>$D$16</f>
        <v/>
      </c>
      <c r="C24" s="4">
        <f>$E$16</f>
        <v/>
      </c>
      <c r="D24" s="3">
        <f>IF($A24&gt;$D$16,"ITM",IF($A24=$D$16,"ATM","OTM"))</f>
        <v/>
      </c>
      <c r="E24" s="3">
        <f>IF($A24&gt;$D$16,"SI","NO")</f>
        <v/>
      </c>
      <c r="F24" s="4">
        <f>-MAX($A24-$D$16,0)*$F$16</f>
        <v/>
      </c>
      <c r="G24" s="4">
        <f>$E$16*$F$16+F24</f>
        <v/>
      </c>
      <c r="H24" s="4">
        <f>$D$17</f>
        <v/>
      </c>
      <c r="I24" s="4">
        <f>$E$17</f>
        <v/>
      </c>
      <c r="J24" s="3">
        <f>IF($A24&gt;$D$17,"ITM",IF($A24=$D$17,"ATM","OTM"))</f>
        <v/>
      </c>
      <c r="K24" s="3">
        <f>IF($A24&gt;$D$17,"SI","NO")</f>
        <v/>
      </c>
      <c r="L24" s="4">
        <f>MAX($A24-$D$17,0)*$F$17</f>
        <v/>
      </c>
      <c r="M24" s="4">
        <f>L24-$E$17*$F$17</f>
        <v/>
      </c>
      <c r="N24" s="4">
        <f>F24+L24</f>
        <v/>
      </c>
      <c r="O24" s="4">
        <f>G24+M24</f>
        <v/>
      </c>
      <c r="P24" s="17">
        <f>O24*B7*B8</f>
        <v/>
      </c>
    </row>
    <row r="25">
      <c r="A25" s="4" t="n">
        <v>180.66</v>
      </c>
      <c r="B25" s="4">
        <f>$D$16</f>
        <v/>
      </c>
      <c r="C25" s="4">
        <f>$E$16</f>
        <v/>
      </c>
      <c r="D25" s="3">
        <f>IF($A25&gt;$D$16,"ITM",IF($A25=$D$16,"ATM","OTM"))</f>
        <v/>
      </c>
      <c r="E25" s="3">
        <f>IF($A25&gt;$D$16,"SI","NO")</f>
        <v/>
      </c>
      <c r="F25" s="4">
        <f>-MAX($A25-$D$16,0)*$F$16</f>
        <v/>
      </c>
      <c r="G25" s="4">
        <f>$E$16*$F$16+F25</f>
        <v/>
      </c>
      <c r="H25" s="4">
        <f>$D$17</f>
        <v/>
      </c>
      <c r="I25" s="4">
        <f>$E$17</f>
        <v/>
      </c>
      <c r="J25" s="3">
        <f>IF($A25&gt;$D$17,"ITM",IF($A25=$D$17,"ATM","OTM"))</f>
        <v/>
      </c>
      <c r="K25" s="3">
        <f>IF($A25&gt;$D$17,"SI","NO")</f>
        <v/>
      </c>
      <c r="L25" s="4">
        <f>MAX($A25-$D$17,0)*$F$17</f>
        <v/>
      </c>
      <c r="M25" s="4">
        <f>L25-$E$17*$F$17</f>
        <v/>
      </c>
      <c r="N25" s="4">
        <f>F25+L25</f>
        <v/>
      </c>
      <c r="O25" s="4">
        <f>G25+M25</f>
        <v/>
      </c>
      <c r="P25" s="17">
        <f>O25*B7*B8</f>
        <v/>
      </c>
    </row>
    <row r="26">
      <c r="A26" s="4" t="n">
        <v>182.34</v>
      </c>
      <c r="B26" s="4">
        <f>$D$16</f>
        <v/>
      </c>
      <c r="C26" s="4">
        <f>$E$16</f>
        <v/>
      </c>
      <c r="D26" s="3">
        <f>IF($A26&gt;$D$16,"ITM",IF($A26=$D$16,"ATM","OTM"))</f>
        <v/>
      </c>
      <c r="E26" s="3">
        <f>IF($A26&gt;$D$16,"SI","NO")</f>
        <v/>
      </c>
      <c r="F26" s="4">
        <f>-MAX($A26-$D$16,0)*$F$16</f>
        <v/>
      </c>
      <c r="G26" s="4">
        <f>$E$16*$F$16+F26</f>
        <v/>
      </c>
      <c r="H26" s="4">
        <f>$D$17</f>
        <v/>
      </c>
      <c r="I26" s="4">
        <f>$E$17</f>
        <v/>
      </c>
      <c r="J26" s="3">
        <f>IF($A26&gt;$D$17,"ITM",IF($A26=$D$17,"ATM","OTM"))</f>
        <v/>
      </c>
      <c r="K26" s="3">
        <f>IF($A26&gt;$D$17,"SI","NO")</f>
        <v/>
      </c>
      <c r="L26" s="4">
        <f>MAX($A26-$D$17,0)*$F$17</f>
        <v/>
      </c>
      <c r="M26" s="4">
        <f>L26-$E$17*$F$17</f>
        <v/>
      </c>
      <c r="N26" s="4">
        <f>F26+L26</f>
        <v/>
      </c>
      <c r="O26" s="4">
        <f>G26+M26</f>
        <v/>
      </c>
      <c r="P26" s="17">
        <f>O26*B7*B8</f>
        <v/>
      </c>
    </row>
    <row r="27">
      <c r="A27" s="4" t="n">
        <v>184.03</v>
      </c>
      <c r="B27" s="4">
        <f>$D$16</f>
        <v/>
      </c>
      <c r="C27" s="4">
        <f>$E$16</f>
        <v/>
      </c>
      <c r="D27" s="3">
        <f>IF($A27&gt;$D$16,"ITM",IF($A27=$D$16,"ATM","OTM"))</f>
        <v/>
      </c>
      <c r="E27" s="3">
        <f>IF($A27&gt;$D$16,"SI","NO")</f>
        <v/>
      </c>
      <c r="F27" s="4">
        <f>-MAX($A27-$D$16,0)*$F$16</f>
        <v/>
      </c>
      <c r="G27" s="4">
        <f>$E$16*$F$16+F27</f>
        <v/>
      </c>
      <c r="H27" s="4">
        <f>$D$17</f>
        <v/>
      </c>
      <c r="I27" s="4">
        <f>$E$17</f>
        <v/>
      </c>
      <c r="J27" s="3">
        <f>IF($A27&gt;$D$17,"ITM",IF($A27=$D$17,"ATM","OTM"))</f>
        <v/>
      </c>
      <c r="K27" s="3">
        <f>IF($A27&gt;$D$17,"SI","NO")</f>
        <v/>
      </c>
      <c r="L27" s="4">
        <f>MAX($A27-$D$17,0)*$F$17</f>
        <v/>
      </c>
      <c r="M27" s="4">
        <f>L27-$E$17*$F$17</f>
        <v/>
      </c>
      <c r="N27" s="4">
        <f>F27+L27</f>
        <v/>
      </c>
      <c r="O27" s="4">
        <f>G27+M27</f>
        <v/>
      </c>
      <c r="P27" s="17">
        <f>O27*B7*B8</f>
        <v/>
      </c>
    </row>
    <row r="28">
      <c r="A28" s="4" t="n">
        <v>185.71</v>
      </c>
      <c r="B28" s="4">
        <f>$D$16</f>
        <v/>
      </c>
      <c r="C28" s="4">
        <f>$E$16</f>
        <v/>
      </c>
      <c r="D28" s="3">
        <f>IF($A28&gt;$D$16,"ITM",IF($A28=$D$16,"ATM","OTM"))</f>
        <v/>
      </c>
      <c r="E28" s="3">
        <f>IF($A28&gt;$D$16,"SI","NO")</f>
        <v/>
      </c>
      <c r="F28" s="4">
        <f>-MAX($A28-$D$16,0)*$F$16</f>
        <v/>
      </c>
      <c r="G28" s="4">
        <f>$E$16*$F$16+F28</f>
        <v/>
      </c>
      <c r="H28" s="4">
        <f>$D$17</f>
        <v/>
      </c>
      <c r="I28" s="4">
        <f>$E$17</f>
        <v/>
      </c>
      <c r="J28" s="3">
        <f>IF($A28&gt;$D$17,"ITM",IF($A28=$D$17,"ATM","OTM"))</f>
        <v/>
      </c>
      <c r="K28" s="3">
        <f>IF($A28&gt;$D$17,"SI","NO")</f>
        <v/>
      </c>
      <c r="L28" s="4">
        <f>MAX($A28-$D$17,0)*$F$17</f>
        <v/>
      </c>
      <c r="M28" s="4">
        <f>L28-$E$17*$F$17</f>
        <v/>
      </c>
      <c r="N28" s="4">
        <f>F28+L28</f>
        <v/>
      </c>
      <c r="O28" s="4">
        <f>G28+M28</f>
        <v/>
      </c>
      <c r="P28" s="17">
        <f>O28*B7*B8</f>
        <v/>
      </c>
    </row>
    <row r="29">
      <c r="A29" s="4" t="n">
        <v>187.39</v>
      </c>
      <c r="B29" s="4">
        <f>$D$16</f>
        <v/>
      </c>
      <c r="C29" s="4">
        <f>$E$16</f>
        <v/>
      </c>
      <c r="D29" s="3">
        <f>IF($A29&gt;$D$16,"ITM",IF($A29=$D$16,"ATM","OTM"))</f>
        <v/>
      </c>
      <c r="E29" s="3">
        <f>IF($A29&gt;$D$16,"SI","NO")</f>
        <v/>
      </c>
      <c r="F29" s="4">
        <f>-MAX($A29-$D$16,0)*$F$16</f>
        <v/>
      </c>
      <c r="G29" s="4">
        <f>$E$16*$F$16+F29</f>
        <v/>
      </c>
      <c r="H29" s="4">
        <f>$D$17</f>
        <v/>
      </c>
      <c r="I29" s="4">
        <f>$E$17</f>
        <v/>
      </c>
      <c r="J29" s="3">
        <f>IF($A29&gt;$D$17,"ITM",IF($A29=$D$17,"ATM","OTM"))</f>
        <v/>
      </c>
      <c r="K29" s="3">
        <f>IF($A29&gt;$D$17,"SI","NO")</f>
        <v/>
      </c>
      <c r="L29" s="4">
        <f>MAX($A29-$D$17,0)*$F$17</f>
        <v/>
      </c>
      <c r="M29" s="4">
        <f>L29-$E$17*$F$17</f>
        <v/>
      </c>
      <c r="N29" s="4">
        <f>F29+L29</f>
        <v/>
      </c>
      <c r="O29" s="4">
        <f>G29+M29</f>
        <v/>
      </c>
      <c r="P29" s="17">
        <f>O29*B7*B8</f>
        <v/>
      </c>
    </row>
    <row r="30">
      <c r="A30" s="4" t="n">
        <v>189.08</v>
      </c>
      <c r="B30" s="4">
        <f>$D$16</f>
        <v/>
      </c>
      <c r="C30" s="4">
        <f>$E$16</f>
        <v/>
      </c>
      <c r="D30" s="3">
        <f>IF($A30&gt;$D$16,"ITM",IF($A30=$D$16,"ATM","OTM"))</f>
        <v/>
      </c>
      <c r="E30" s="3">
        <f>IF($A30&gt;$D$16,"SI","NO")</f>
        <v/>
      </c>
      <c r="F30" s="4">
        <f>-MAX($A30-$D$16,0)*$F$16</f>
        <v/>
      </c>
      <c r="G30" s="4">
        <f>$E$16*$F$16+F30</f>
        <v/>
      </c>
      <c r="H30" s="4">
        <f>$D$17</f>
        <v/>
      </c>
      <c r="I30" s="4">
        <f>$E$17</f>
        <v/>
      </c>
      <c r="J30" s="3">
        <f>IF($A30&gt;$D$17,"ITM",IF($A30=$D$17,"ATM","OTM"))</f>
        <v/>
      </c>
      <c r="K30" s="3">
        <f>IF($A30&gt;$D$17,"SI","NO")</f>
        <v/>
      </c>
      <c r="L30" s="4">
        <f>MAX($A30-$D$17,0)*$F$17</f>
        <v/>
      </c>
      <c r="M30" s="4">
        <f>L30-$E$17*$F$17</f>
        <v/>
      </c>
      <c r="N30" s="4">
        <f>F30+L30</f>
        <v/>
      </c>
      <c r="O30" s="4">
        <f>G30+M30</f>
        <v/>
      </c>
      <c r="P30" s="17">
        <f>O30*B7*B8</f>
        <v/>
      </c>
    </row>
    <row r="31">
      <c r="A31" s="4" t="n">
        <v>190.76</v>
      </c>
      <c r="B31" s="4">
        <f>$D$16</f>
        <v/>
      </c>
      <c r="C31" s="4">
        <f>$E$16</f>
        <v/>
      </c>
      <c r="D31" s="3">
        <f>IF($A31&gt;$D$16,"ITM",IF($A31=$D$16,"ATM","OTM"))</f>
        <v/>
      </c>
      <c r="E31" s="3">
        <f>IF($A31&gt;$D$16,"SI","NO")</f>
        <v/>
      </c>
      <c r="F31" s="4">
        <f>-MAX($A31-$D$16,0)*$F$16</f>
        <v/>
      </c>
      <c r="G31" s="4">
        <f>$E$16*$F$16+F31</f>
        <v/>
      </c>
      <c r="H31" s="4">
        <f>$D$17</f>
        <v/>
      </c>
      <c r="I31" s="4">
        <f>$E$17</f>
        <v/>
      </c>
      <c r="J31" s="3">
        <f>IF($A31&gt;$D$17,"ITM",IF($A31=$D$17,"ATM","OTM"))</f>
        <v/>
      </c>
      <c r="K31" s="3">
        <f>IF($A31&gt;$D$17,"SI","NO")</f>
        <v/>
      </c>
      <c r="L31" s="4">
        <f>MAX($A31-$D$17,0)*$F$17</f>
        <v/>
      </c>
      <c r="M31" s="4">
        <f>L31-$E$17*$F$17</f>
        <v/>
      </c>
      <c r="N31" s="4">
        <f>F31+L31</f>
        <v/>
      </c>
      <c r="O31" s="4">
        <f>G31+M31</f>
        <v/>
      </c>
      <c r="P31" s="17">
        <f>O31*B7*B8</f>
        <v/>
      </c>
    </row>
    <row r="32">
      <c r="A32" s="4" t="n">
        <v>192.45</v>
      </c>
      <c r="B32" s="4">
        <f>$D$16</f>
        <v/>
      </c>
      <c r="C32" s="4">
        <f>$E$16</f>
        <v/>
      </c>
      <c r="D32" s="3">
        <f>IF($A32&gt;$D$16,"ITM",IF($A32=$D$16,"ATM","OTM"))</f>
        <v/>
      </c>
      <c r="E32" s="3">
        <f>IF($A32&gt;$D$16,"SI","NO")</f>
        <v/>
      </c>
      <c r="F32" s="4">
        <f>-MAX($A32-$D$16,0)*$F$16</f>
        <v/>
      </c>
      <c r="G32" s="4">
        <f>$E$16*$F$16+F32</f>
        <v/>
      </c>
      <c r="H32" s="4">
        <f>$D$17</f>
        <v/>
      </c>
      <c r="I32" s="4">
        <f>$E$17</f>
        <v/>
      </c>
      <c r="J32" s="3">
        <f>IF($A32&gt;$D$17,"ITM",IF($A32=$D$17,"ATM","OTM"))</f>
        <v/>
      </c>
      <c r="K32" s="3">
        <f>IF($A32&gt;$D$17,"SI","NO")</f>
        <v/>
      </c>
      <c r="L32" s="4">
        <f>MAX($A32-$D$17,0)*$F$17</f>
        <v/>
      </c>
      <c r="M32" s="4">
        <f>L32-$E$17*$F$17</f>
        <v/>
      </c>
      <c r="N32" s="4">
        <f>F32+L32</f>
        <v/>
      </c>
      <c r="O32" s="4">
        <f>G32+M32</f>
        <v/>
      </c>
      <c r="P32" s="17">
        <f>O32*B7*B8</f>
        <v/>
      </c>
    </row>
    <row r="33">
      <c r="A33" s="4" t="n">
        <v>194.13</v>
      </c>
      <c r="B33" s="4">
        <f>$D$16</f>
        <v/>
      </c>
      <c r="C33" s="4">
        <f>$E$16</f>
        <v/>
      </c>
      <c r="D33" s="3">
        <f>IF($A33&gt;$D$16,"ITM",IF($A33=$D$16,"ATM","OTM"))</f>
        <v/>
      </c>
      <c r="E33" s="3">
        <f>IF($A33&gt;$D$16,"SI","NO")</f>
        <v/>
      </c>
      <c r="F33" s="4">
        <f>-MAX($A33-$D$16,0)*$F$16</f>
        <v/>
      </c>
      <c r="G33" s="4">
        <f>$E$16*$F$16+F33</f>
        <v/>
      </c>
      <c r="H33" s="4">
        <f>$D$17</f>
        <v/>
      </c>
      <c r="I33" s="4">
        <f>$E$17</f>
        <v/>
      </c>
      <c r="J33" s="3">
        <f>IF($A33&gt;$D$17,"ITM",IF($A33=$D$17,"ATM","OTM"))</f>
        <v/>
      </c>
      <c r="K33" s="3">
        <f>IF($A33&gt;$D$17,"SI","NO")</f>
        <v/>
      </c>
      <c r="L33" s="4">
        <f>MAX($A33-$D$17,0)*$F$17</f>
        <v/>
      </c>
      <c r="M33" s="4">
        <f>L33-$E$17*$F$17</f>
        <v/>
      </c>
      <c r="N33" s="4">
        <f>F33+L33</f>
        <v/>
      </c>
      <c r="O33" s="4">
        <f>G33+M33</f>
        <v/>
      </c>
      <c r="P33" s="17">
        <f>O33*B7*B8</f>
        <v/>
      </c>
    </row>
    <row r="34">
      <c r="A34" s="4" t="n">
        <v>194.83</v>
      </c>
      <c r="B34" s="4">
        <f>$D$16</f>
        <v/>
      </c>
      <c r="C34" s="4">
        <f>$E$16</f>
        <v/>
      </c>
      <c r="D34" s="3">
        <f>IF($A34&gt;$D$16,"ITM",IF($A34=$D$16,"ATM","OTM"))</f>
        <v/>
      </c>
      <c r="E34" s="3">
        <f>IF($A34&gt;$D$16,"SI","NO")</f>
        <v/>
      </c>
      <c r="F34" s="4">
        <f>-MAX($A34-$D$16,0)*$F$16</f>
        <v/>
      </c>
      <c r="G34" s="4">
        <f>$E$16*$F$16+F34</f>
        <v/>
      </c>
      <c r="H34" s="4">
        <f>$D$17</f>
        <v/>
      </c>
      <c r="I34" s="4">
        <f>$E$17</f>
        <v/>
      </c>
      <c r="J34" s="3">
        <f>IF($A34&gt;$D$17,"ITM",IF($A34=$D$17,"ATM","OTM"))</f>
        <v/>
      </c>
      <c r="K34" s="3">
        <f>IF($A34&gt;$D$17,"SI","NO")</f>
        <v/>
      </c>
      <c r="L34" s="4">
        <f>MAX($A34-$D$17,0)*$F$17</f>
        <v/>
      </c>
      <c r="M34" s="4">
        <f>L34-$E$17*$F$17</f>
        <v/>
      </c>
      <c r="N34" s="4">
        <f>F34+L34</f>
        <v/>
      </c>
      <c r="O34" s="4">
        <f>G34+M34</f>
        <v/>
      </c>
      <c r="P34" s="17">
        <f>O34*B7*B8</f>
        <v/>
      </c>
    </row>
    <row r="35">
      <c r="A35" s="4" t="n">
        <v>195</v>
      </c>
      <c r="B35" s="4">
        <f>$D$16</f>
        <v/>
      </c>
      <c r="C35" s="4">
        <f>$E$16</f>
        <v/>
      </c>
      <c r="D35" s="3">
        <f>IF($A35&gt;$D$16,"ITM",IF($A35=$D$16,"ATM","OTM"))</f>
        <v/>
      </c>
      <c r="E35" s="3">
        <f>IF($A35&gt;$D$16,"SI","NO")</f>
        <v/>
      </c>
      <c r="F35" s="4">
        <f>-MAX($A35-$D$16,0)*$F$16</f>
        <v/>
      </c>
      <c r="G35" s="4">
        <f>$E$16*$F$16+F35</f>
        <v/>
      </c>
      <c r="H35" s="4">
        <f>$D$17</f>
        <v/>
      </c>
      <c r="I35" s="4">
        <f>$E$17</f>
        <v/>
      </c>
      <c r="J35" s="3">
        <f>IF($A35&gt;$D$17,"ITM",IF($A35=$D$17,"ATM","OTM"))</f>
        <v/>
      </c>
      <c r="K35" s="3">
        <f>IF($A35&gt;$D$17,"SI","NO")</f>
        <v/>
      </c>
      <c r="L35" s="4">
        <f>MAX($A35-$D$17,0)*$F$17</f>
        <v/>
      </c>
      <c r="M35" s="4">
        <f>L35-$E$17*$F$17</f>
        <v/>
      </c>
      <c r="N35" s="4">
        <f>F35+L35</f>
        <v/>
      </c>
      <c r="O35" s="4">
        <f>G35+M35</f>
        <v/>
      </c>
      <c r="P35" s="17">
        <f>O35*B7*B8</f>
        <v/>
      </c>
    </row>
    <row r="36">
      <c r="A36" s="4" t="n">
        <v>195.82</v>
      </c>
      <c r="B36" s="4">
        <f>$D$16</f>
        <v/>
      </c>
      <c r="C36" s="4">
        <f>$E$16</f>
        <v/>
      </c>
      <c r="D36" s="3">
        <f>IF($A36&gt;$D$16,"ITM",IF($A36=$D$16,"ATM","OTM"))</f>
        <v/>
      </c>
      <c r="E36" s="3">
        <f>IF($A36&gt;$D$16,"SI","NO")</f>
        <v/>
      </c>
      <c r="F36" s="4">
        <f>-MAX($A36-$D$16,0)*$F$16</f>
        <v/>
      </c>
      <c r="G36" s="4">
        <f>$E$16*$F$16+F36</f>
        <v/>
      </c>
      <c r="H36" s="4">
        <f>$D$17</f>
        <v/>
      </c>
      <c r="I36" s="4">
        <f>$E$17</f>
        <v/>
      </c>
      <c r="J36" s="3">
        <f>IF($A36&gt;$D$17,"ITM",IF($A36=$D$17,"ATM","OTM"))</f>
        <v/>
      </c>
      <c r="K36" s="3">
        <f>IF($A36&gt;$D$17,"SI","NO")</f>
        <v/>
      </c>
      <c r="L36" s="4">
        <f>MAX($A36-$D$17,0)*$F$17</f>
        <v/>
      </c>
      <c r="M36" s="4">
        <f>L36-$E$17*$F$17</f>
        <v/>
      </c>
      <c r="N36" s="4">
        <f>F36+L36</f>
        <v/>
      </c>
      <c r="O36" s="4">
        <f>G36+M36</f>
        <v/>
      </c>
      <c r="P36" s="17">
        <f>O36*B7*B8</f>
        <v/>
      </c>
    </row>
    <row r="37">
      <c r="A37" s="4" t="n">
        <v>197.5</v>
      </c>
      <c r="B37" s="4">
        <f>$D$16</f>
        <v/>
      </c>
      <c r="C37" s="4">
        <f>$E$16</f>
        <v/>
      </c>
      <c r="D37" s="3">
        <f>IF($A37&gt;$D$16,"ITM",IF($A37=$D$16,"ATM","OTM"))</f>
        <v/>
      </c>
      <c r="E37" s="3">
        <f>IF($A37&gt;$D$16,"SI","NO")</f>
        <v/>
      </c>
      <c r="F37" s="4">
        <f>-MAX($A37-$D$16,0)*$F$16</f>
        <v/>
      </c>
      <c r="G37" s="4">
        <f>$E$16*$F$16+F37</f>
        <v/>
      </c>
      <c r="H37" s="4">
        <f>$D$17</f>
        <v/>
      </c>
      <c r="I37" s="4">
        <f>$E$17</f>
        <v/>
      </c>
      <c r="J37" s="3">
        <f>IF($A37&gt;$D$17,"ITM",IF($A37=$D$17,"ATM","OTM"))</f>
        <v/>
      </c>
      <c r="K37" s="3">
        <f>IF($A37&gt;$D$17,"SI","NO")</f>
        <v/>
      </c>
      <c r="L37" s="4">
        <f>MAX($A37-$D$17,0)*$F$17</f>
        <v/>
      </c>
      <c r="M37" s="4">
        <f>L37-$E$17*$F$17</f>
        <v/>
      </c>
      <c r="N37" s="4">
        <f>F37+L37</f>
        <v/>
      </c>
      <c r="O37" s="4">
        <f>G37+M37</f>
        <v/>
      </c>
      <c r="P37" s="16">
        <f>O37*B7*B8</f>
        <v/>
      </c>
    </row>
    <row r="38">
      <c r="A38" s="4" t="n">
        <v>199.18</v>
      </c>
      <c r="B38" s="4">
        <f>$D$16</f>
        <v/>
      </c>
      <c r="C38" s="4">
        <f>$E$16</f>
        <v/>
      </c>
      <c r="D38" s="3">
        <f>IF($A38&gt;$D$16,"ITM",IF($A38=$D$16,"ATM","OTM"))</f>
        <v/>
      </c>
      <c r="E38" s="3">
        <f>IF($A38&gt;$D$16,"SI","NO")</f>
        <v/>
      </c>
      <c r="F38" s="4">
        <f>-MAX($A38-$D$16,0)*$F$16</f>
        <v/>
      </c>
      <c r="G38" s="4">
        <f>$E$16*$F$16+F38</f>
        <v/>
      </c>
      <c r="H38" s="4">
        <f>$D$17</f>
        <v/>
      </c>
      <c r="I38" s="4">
        <f>$E$17</f>
        <v/>
      </c>
      <c r="J38" s="3">
        <f>IF($A38&gt;$D$17,"ITM",IF($A38=$D$17,"ATM","OTM"))</f>
        <v/>
      </c>
      <c r="K38" s="3">
        <f>IF($A38&gt;$D$17,"SI","NO")</f>
        <v/>
      </c>
      <c r="L38" s="4">
        <f>MAX($A38-$D$17,0)*$F$17</f>
        <v/>
      </c>
      <c r="M38" s="4">
        <f>L38-$E$17*$F$17</f>
        <v/>
      </c>
      <c r="N38" s="4">
        <f>F38+L38</f>
        <v/>
      </c>
      <c r="O38" s="4">
        <f>G38+M38</f>
        <v/>
      </c>
      <c r="P38" s="16">
        <f>O38*B7*B8</f>
        <v/>
      </c>
    </row>
    <row r="39">
      <c r="A39" s="4" t="n">
        <v>200</v>
      </c>
      <c r="B39" s="4">
        <f>$D$16</f>
        <v/>
      </c>
      <c r="C39" s="4">
        <f>$E$16</f>
        <v/>
      </c>
      <c r="D39" s="3">
        <f>IF($A39&gt;$D$16,"ITM",IF($A39=$D$16,"ATM","OTM"))</f>
        <v/>
      </c>
      <c r="E39" s="3">
        <f>IF($A39&gt;$D$16,"SI","NO")</f>
        <v/>
      </c>
      <c r="F39" s="4">
        <f>-MAX($A39-$D$16,0)*$F$16</f>
        <v/>
      </c>
      <c r="G39" s="4">
        <f>$E$16*$F$16+F39</f>
        <v/>
      </c>
      <c r="H39" s="4">
        <f>$D$17</f>
        <v/>
      </c>
      <c r="I39" s="4">
        <f>$E$17</f>
        <v/>
      </c>
      <c r="J39" s="3">
        <f>IF($A39&gt;$D$17,"ITM",IF($A39=$D$17,"ATM","OTM"))</f>
        <v/>
      </c>
      <c r="K39" s="3">
        <f>IF($A39&gt;$D$17,"SI","NO")</f>
        <v/>
      </c>
      <c r="L39" s="4">
        <f>MAX($A39-$D$17,0)*$F$17</f>
        <v/>
      </c>
      <c r="M39" s="4">
        <f>L39-$E$17*$F$17</f>
        <v/>
      </c>
      <c r="N39" s="4">
        <f>F39+L39</f>
        <v/>
      </c>
      <c r="O39" s="4">
        <f>G39+M39</f>
        <v/>
      </c>
      <c r="P39" s="16">
        <f>O39*B7*B8</f>
        <v/>
      </c>
    </row>
    <row r="40">
      <c r="A40" s="4" t="n">
        <v>200.87</v>
      </c>
      <c r="B40" s="4">
        <f>$D$16</f>
        <v/>
      </c>
      <c r="C40" s="4">
        <f>$E$16</f>
        <v/>
      </c>
      <c r="D40" s="3">
        <f>IF($A40&gt;$D$16,"ITM",IF($A40=$D$16,"ATM","OTM"))</f>
        <v/>
      </c>
      <c r="E40" s="3">
        <f>IF($A40&gt;$D$16,"SI","NO")</f>
        <v/>
      </c>
      <c r="F40" s="4">
        <f>-MAX($A40-$D$16,0)*$F$16</f>
        <v/>
      </c>
      <c r="G40" s="4">
        <f>$E$16*$F$16+F40</f>
        <v/>
      </c>
      <c r="H40" s="4">
        <f>$D$17</f>
        <v/>
      </c>
      <c r="I40" s="4">
        <f>$E$17</f>
        <v/>
      </c>
      <c r="J40" s="3">
        <f>IF($A40&gt;$D$17,"ITM",IF($A40=$D$17,"ATM","OTM"))</f>
        <v/>
      </c>
      <c r="K40" s="3">
        <f>IF($A40&gt;$D$17,"SI","NO")</f>
        <v/>
      </c>
      <c r="L40" s="4">
        <f>MAX($A40-$D$17,0)*$F$17</f>
        <v/>
      </c>
      <c r="M40" s="4">
        <f>L40-$E$17*$F$17</f>
        <v/>
      </c>
      <c r="N40" s="4">
        <f>F40+L40</f>
        <v/>
      </c>
      <c r="O40" s="4">
        <f>G40+M40</f>
        <v/>
      </c>
      <c r="P40" s="16">
        <f>O40*B7*B8</f>
        <v/>
      </c>
    </row>
    <row r="41">
      <c r="A41" s="4" t="n">
        <v>202.55</v>
      </c>
      <c r="B41" s="4">
        <f>$D$16</f>
        <v/>
      </c>
      <c r="C41" s="4">
        <f>$E$16</f>
        <v/>
      </c>
      <c r="D41" s="3">
        <f>IF($A41&gt;$D$16,"ITM",IF($A41=$D$16,"ATM","OTM"))</f>
        <v/>
      </c>
      <c r="E41" s="3">
        <f>IF($A41&gt;$D$16,"SI","NO")</f>
        <v/>
      </c>
      <c r="F41" s="4">
        <f>-MAX($A41-$D$16,0)*$F$16</f>
        <v/>
      </c>
      <c r="G41" s="4">
        <f>$E$16*$F$16+F41</f>
        <v/>
      </c>
      <c r="H41" s="4">
        <f>$D$17</f>
        <v/>
      </c>
      <c r="I41" s="4">
        <f>$E$17</f>
        <v/>
      </c>
      <c r="J41" s="3">
        <f>IF($A41&gt;$D$17,"ITM",IF($A41=$D$17,"ATM","OTM"))</f>
        <v/>
      </c>
      <c r="K41" s="3">
        <f>IF($A41&gt;$D$17,"SI","NO")</f>
        <v/>
      </c>
      <c r="L41" s="4">
        <f>MAX($A41-$D$17,0)*$F$17</f>
        <v/>
      </c>
      <c r="M41" s="4">
        <f>L41-$E$17*$F$17</f>
        <v/>
      </c>
      <c r="N41" s="4">
        <f>F41+L41</f>
        <v/>
      </c>
      <c r="O41" s="4">
        <f>G41+M41</f>
        <v/>
      </c>
      <c r="P41" s="16">
        <f>O41*B7*B8</f>
        <v/>
      </c>
    </row>
    <row r="42">
      <c r="A42" s="4" t="n">
        <v>204.24</v>
      </c>
      <c r="B42" s="4">
        <f>$D$16</f>
        <v/>
      </c>
      <c r="C42" s="4">
        <f>$E$16</f>
        <v/>
      </c>
      <c r="D42" s="3">
        <f>IF($A42&gt;$D$16,"ITM",IF($A42=$D$16,"ATM","OTM"))</f>
        <v/>
      </c>
      <c r="E42" s="3">
        <f>IF($A42&gt;$D$16,"SI","NO")</f>
        <v/>
      </c>
      <c r="F42" s="4">
        <f>-MAX($A42-$D$16,0)*$F$16</f>
        <v/>
      </c>
      <c r="G42" s="4">
        <f>$E$16*$F$16+F42</f>
        <v/>
      </c>
      <c r="H42" s="4">
        <f>$D$17</f>
        <v/>
      </c>
      <c r="I42" s="4">
        <f>$E$17</f>
        <v/>
      </c>
      <c r="J42" s="3">
        <f>IF($A42&gt;$D$17,"ITM",IF($A42=$D$17,"ATM","OTM"))</f>
        <v/>
      </c>
      <c r="K42" s="3">
        <f>IF($A42&gt;$D$17,"SI","NO")</f>
        <v/>
      </c>
      <c r="L42" s="4">
        <f>MAX($A42-$D$17,0)*$F$17</f>
        <v/>
      </c>
      <c r="M42" s="4">
        <f>L42-$E$17*$F$17</f>
        <v/>
      </c>
      <c r="N42" s="4">
        <f>F42+L42</f>
        <v/>
      </c>
      <c r="O42" s="4">
        <f>G42+M42</f>
        <v/>
      </c>
      <c r="P42" s="16">
        <f>O42*B7*B8</f>
        <v/>
      </c>
    </row>
    <row r="43">
      <c r="A43" s="4" t="n">
        <v>205.92</v>
      </c>
      <c r="B43" s="4">
        <f>$D$16</f>
        <v/>
      </c>
      <c r="C43" s="4">
        <f>$E$16</f>
        <v/>
      </c>
      <c r="D43" s="3">
        <f>IF($A43&gt;$D$16,"ITM",IF($A43=$D$16,"ATM","OTM"))</f>
        <v/>
      </c>
      <c r="E43" s="3">
        <f>IF($A43&gt;$D$16,"SI","NO")</f>
        <v/>
      </c>
      <c r="F43" s="4">
        <f>-MAX($A43-$D$16,0)*$F$16</f>
        <v/>
      </c>
      <c r="G43" s="4">
        <f>$E$16*$F$16+F43</f>
        <v/>
      </c>
      <c r="H43" s="4">
        <f>$D$17</f>
        <v/>
      </c>
      <c r="I43" s="4">
        <f>$E$17</f>
        <v/>
      </c>
      <c r="J43" s="3">
        <f>IF($A43&gt;$D$17,"ITM",IF($A43=$D$17,"ATM","OTM"))</f>
        <v/>
      </c>
      <c r="K43" s="3">
        <f>IF($A43&gt;$D$17,"SI","NO")</f>
        <v/>
      </c>
      <c r="L43" s="4">
        <f>MAX($A43-$D$17,0)*$F$17</f>
        <v/>
      </c>
      <c r="M43" s="4">
        <f>L43-$E$17*$F$17</f>
        <v/>
      </c>
      <c r="N43" s="4">
        <f>F43+L43</f>
        <v/>
      </c>
      <c r="O43" s="4">
        <f>G43+M43</f>
        <v/>
      </c>
      <c r="P43" s="16">
        <f>O43*B7*B8</f>
        <v/>
      </c>
    </row>
    <row r="44">
      <c r="A44" s="4" t="n">
        <v>207.61</v>
      </c>
      <c r="B44" s="4">
        <f>$D$16</f>
        <v/>
      </c>
      <c r="C44" s="4">
        <f>$E$16</f>
        <v/>
      </c>
      <c r="D44" s="3">
        <f>IF($A44&gt;$D$16,"ITM",IF($A44=$D$16,"ATM","OTM"))</f>
        <v/>
      </c>
      <c r="E44" s="3">
        <f>IF($A44&gt;$D$16,"SI","NO")</f>
        <v/>
      </c>
      <c r="F44" s="4">
        <f>-MAX($A44-$D$16,0)*$F$16</f>
        <v/>
      </c>
      <c r="G44" s="4">
        <f>$E$16*$F$16+F44</f>
        <v/>
      </c>
      <c r="H44" s="4">
        <f>$D$17</f>
        <v/>
      </c>
      <c r="I44" s="4">
        <f>$E$17</f>
        <v/>
      </c>
      <c r="J44" s="3">
        <f>IF($A44&gt;$D$17,"ITM",IF($A44=$D$17,"ATM","OTM"))</f>
        <v/>
      </c>
      <c r="K44" s="3">
        <f>IF($A44&gt;$D$17,"SI","NO")</f>
        <v/>
      </c>
      <c r="L44" s="4">
        <f>MAX($A44-$D$17,0)*$F$17</f>
        <v/>
      </c>
      <c r="M44" s="4">
        <f>L44-$E$17*$F$17</f>
        <v/>
      </c>
      <c r="N44" s="4">
        <f>F44+L44</f>
        <v/>
      </c>
      <c r="O44" s="4">
        <f>G44+M44</f>
        <v/>
      </c>
      <c r="P44" s="16">
        <f>O44*B7*B8</f>
        <v/>
      </c>
    </row>
    <row r="45">
      <c r="A45" s="4" t="n">
        <v>209.29</v>
      </c>
      <c r="B45" s="4">
        <f>$D$16</f>
        <v/>
      </c>
      <c r="C45" s="4">
        <f>$E$16</f>
        <v/>
      </c>
      <c r="D45" s="3">
        <f>IF($A45&gt;$D$16,"ITM",IF($A45=$D$16,"ATM","OTM"))</f>
        <v/>
      </c>
      <c r="E45" s="3">
        <f>IF($A45&gt;$D$16,"SI","NO")</f>
        <v/>
      </c>
      <c r="F45" s="4">
        <f>-MAX($A45-$D$16,0)*$F$16</f>
        <v/>
      </c>
      <c r="G45" s="4">
        <f>$E$16*$F$16+F45</f>
        <v/>
      </c>
      <c r="H45" s="4">
        <f>$D$17</f>
        <v/>
      </c>
      <c r="I45" s="4">
        <f>$E$17</f>
        <v/>
      </c>
      <c r="J45" s="3">
        <f>IF($A45&gt;$D$17,"ITM",IF($A45=$D$17,"ATM","OTM"))</f>
        <v/>
      </c>
      <c r="K45" s="3">
        <f>IF($A45&gt;$D$17,"SI","NO")</f>
        <v/>
      </c>
      <c r="L45" s="4">
        <f>MAX($A45-$D$17,0)*$F$17</f>
        <v/>
      </c>
      <c r="M45" s="4">
        <f>L45-$E$17*$F$17</f>
        <v/>
      </c>
      <c r="N45" s="4">
        <f>F45+L45</f>
        <v/>
      </c>
      <c r="O45" s="4">
        <f>G45+M45</f>
        <v/>
      </c>
      <c r="P45" s="16">
        <f>O45*B7*B8</f>
        <v/>
      </c>
    </row>
    <row r="46">
      <c r="A46" s="4" t="n">
        <v>210.97</v>
      </c>
      <c r="B46" s="4">
        <f>$D$16</f>
        <v/>
      </c>
      <c r="C46" s="4">
        <f>$E$16</f>
        <v/>
      </c>
      <c r="D46" s="3">
        <f>IF($A46&gt;$D$16,"ITM",IF($A46=$D$16,"ATM","OTM"))</f>
        <v/>
      </c>
      <c r="E46" s="3">
        <f>IF($A46&gt;$D$16,"SI","NO")</f>
        <v/>
      </c>
      <c r="F46" s="4">
        <f>-MAX($A46-$D$16,0)*$F$16</f>
        <v/>
      </c>
      <c r="G46" s="4">
        <f>$E$16*$F$16+F46</f>
        <v/>
      </c>
      <c r="H46" s="4">
        <f>$D$17</f>
        <v/>
      </c>
      <c r="I46" s="4">
        <f>$E$17</f>
        <v/>
      </c>
      <c r="J46" s="3">
        <f>IF($A46&gt;$D$17,"ITM",IF($A46=$D$17,"ATM","OTM"))</f>
        <v/>
      </c>
      <c r="K46" s="3">
        <f>IF($A46&gt;$D$17,"SI","NO")</f>
        <v/>
      </c>
      <c r="L46" s="4">
        <f>MAX($A46-$D$17,0)*$F$17</f>
        <v/>
      </c>
      <c r="M46" s="4">
        <f>L46-$E$17*$F$17</f>
        <v/>
      </c>
      <c r="N46" s="4">
        <f>F46+L46</f>
        <v/>
      </c>
      <c r="O46" s="4">
        <f>G46+M46</f>
        <v/>
      </c>
      <c r="P46" s="16">
        <f>O46*B7*B8</f>
        <v/>
      </c>
    </row>
    <row r="47">
      <c r="A47" s="4" t="n">
        <v>212.66</v>
      </c>
      <c r="B47" s="4">
        <f>$D$16</f>
        <v/>
      </c>
      <c r="C47" s="4">
        <f>$E$16</f>
        <v/>
      </c>
      <c r="D47" s="3">
        <f>IF($A47&gt;$D$16,"ITM",IF($A47=$D$16,"ATM","OTM"))</f>
        <v/>
      </c>
      <c r="E47" s="3">
        <f>IF($A47&gt;$D$16,"SI","NO")</f>
        <v/>
      </c>
      <c r="F47" s="4">
        <f>-MAX($A47-$D$16,0)*$F$16</f>
        <v/>
      </c>
      <c r="G47" s="4">
        <f>$E$16*$F$16+F47</f>
        <v/>
      </c>
      <c r="H47" s="4">
        <f>$D$17</f>
        <v/>
      </c>
      <c r="I47" s="4">
        <f>$E$17</f>
        <v/>
      </c>
      <c r="J47" s="3">
        <f>IF($A47&gt;$D$17,"ITM",IF($A47=$D$17,"ATM","OTM"))</f>
        <v/>
      </c>
      <c r="K47" s="3">
        <f>IF($A47&gt;$D$17,"SI","NO")</f>
        <v/>
      </c>
      <c r="L47" s="4">
        <f>MAX($A47-$D$17,0)*$F$17</f>
        <v/>
      </c>
      <c r="M47" s="4">
        <f>L47-$E$17*$F$17</f>
        <v/>
      </c>
      <c r="N47" s="4">
        <f>F47+L47</f>
        <v/>
      </c>
      <c r="O47" s="4">
        <f>G47+M47</f>
        <v/>
      </c>
      <c r="P47" s="16">
        <f>O47*B7*B8</f>
        <v/>
      </c>
    </row>
    <row r="48">
      <c r="A48" s="4" t="n">
        <v>214.34</v>
      </c>
      <c r="B48" s="4">
        <f>$D$16</f>
        <v/>
      </c>
      <c r="C48" s="4">
        <f>$E$16</f>
        <v/>
      </c>
      <c r="D48" s="3">
        <f>IF($A48&gt;$D$16,"ITM",IF($A48=$D$16,"ATM","OTM"))</f>
        <v/>
      </c>
      <c r="E48" s="3">
        <f>IF($A48&gt;$D$16,"SI","NO")</f>
        <v/>
      </c>
      <c r="F48" s="4">
        <f>-MAX($A48-$D$16,0)*$F$16</f>
        <v/>
      </c>
      <c r="G48" s="4">
        <f>$E$16*$F$16+F48</f>
        <v/>
      </c>
      <c r="H48" s="4">
        <f>$D$17</f>
        <v/>
      </c>
      <c r="I48" s="4">
        <f>$E$17</f>
        <v/>
      </c>
      <c r="J48" s="3">
        <f>IF($A48&gt;$D$17,"ITM",IF($A48=$D$17,"ATM","OTM"))</f>
        <v/>
      </c>
      <c r="K48" s="3">
        <f>IF($A48&gt;$D$17,"SI","NO")</f>
        <v/>
      </c>
      <c r="L48" s="4">
        <f>MAX($A48-$D$17,0)*$F$17</f>
        <v/>
      </c>
      <c r="M48" s="4">
        <f>L48-$E$17*$F$17</f>
        <v/>
      </c>
      <c r="N48" s="4">
        <f>F48+L48</f>
        <v/>
      </c>
      <c r="O48" s="4">
        <f>G48+M48</f>
        <v/>
      </c>
      <c r="P48" s="16">
        <f>O48*B7*B8</f>
        <v/>
      </c>
    </row>
    <row r="49">
      <c r="A49" s="4" t="n">
        <v>216.03</v>
      </c>
      <c r="B49" s="4">
        <f>$D$16</f>
        <v/>
      </c>
      <c r="C49" s="4">
        <f>$E$16</f>
        <v/>
      </c>
      <c r="D49" s="3">
        <f>IF($A49&gt;$D$16,"ITM",IF($A49=$D$16,"ATM","OTM"))</f>
        <v/>
      </c>
      <c r="E49" s="3">
        <f>IF($A49&gt;$D$16,"SI","NO")</f>
        <v/>
      </c>
      <c r="F49" s="4">
        <f>-MAX($A49-$D$16,0)*$F$16</f>
        <v/>
      </c>
      <c r="G49" s="4">
        <f>$E$16*$F$16+F49</f>
        <v/>
      </c>
      <c r="H49" s="4">
        <f>$D$17</f>
        <v/>
      </c>
      <c r="I49" s="4">
        <f>$E$17</f>
        <v/>
      </c>
      <c r="J49" s="3">
        <f>IF($A49&gt;$D$17,"ITM",IF($A49=$D$17,"ATM","OTM"))</f>
        <v/>
      </c>
      <c r="K49" s="3">
        <f>IF($A49&gt;$D$17,"SI","NO")</f>
        <v/>
      </c>
      <c r="L49" s="4">
        <f>MAX($A49-$D$17,0)*$F$17</f>
        <v/>
      </c>
      <c r="M49" s="4">
        <f>L49-$E$17*$F$17</f>
        <v/>
      </c>
      <c r="N49" s="4">
        <f>F49+L49</f>
        <v/>
      </c>
      <c r="O49" s="4">
        <f>G49+M49</f>
        <v/>
      </c>
      <c r="P49" s="16">
        <f>O49*B7*B8</f>
        <v/>
      </c>
    </row>
    <row r="51">
      <c r="A51" s="11" t="inlineStr">
        <is>
          <t>RESUMEN DE LA ESTRATEGIA</t>
        </is>
      </c>
    </row>
    <row r="52">
      <c r="A52" s="13" t="inlineStr">
        <is>
          <t>Break-even(s)</t>
        </is>
      </c>
      <c r="C52" t="inlineStr">
        <is>
          <t>197.14</t>
        </is>
      </c>
    </row>
    <row r="53">
      <c r="A53" s="13" t="inlineStr">
        <is>
          <t>Ganancia maxima (USD)</t>
        </is>
      </c>
      <c r="C53" s="15">
        <f>MAX(P24:P49)</f>
        <v/>
      </c>
    </row>
    <row r="54">
      <c r="A54" s="13" t="inlineStr">
        <is>
          <t>Perdida maxima (USD)</t>
        </is>
      </c>
      <c r="C54" s="15">
        <f>MIN(P24:P49)</f>
        <v/>
      </c>
    </row>
    <row r="55">
      <c r="A55" s="13" t="inlineStr">
        <is>
          <t>Prima neta total (USD)</t>
        </is>
      </c>
      <c r="C55" s="15">
        <f>E20</f>
        <v/>
      </c>
    </row>
    <row r="56">
      <c r="A56" s="13" t="inlineStr">
        <is>
          <t>Capital en riesgo (USD)</t>
        </is>
      </c>
      <c r="C56" t="n">
        <v>11480</v>
      </c>
    </row>
    <row r="58">
      <c r="A58" s="11" t="inlineStr">
        <is>
          <t>RESULTADO POR ESCENARIO (al vencimiento)</t>
        </is>
      </c>
    </row>
    <row r="59">
      <c r="A59" s="2" t="inlineStr">
        <is>
          <t>Escenario</t>
        </is>
      </c>
      <c r="B59" s="2" t="inlineStr">
        <is>
          <t>ST asumido</t>
        </is>
      </c>
      <c r="C59" s="2" t="inlineStr">
        <is>
          <t>GoP total (USD)</t>
        </is>
      </c>
      <c r="D59" s="2" t="inlineStr">
        <is>
          <t>Rent. s/ capital riesgo</t>
        </is>
      </c>
    </row>
    <row r="60">
      <c r="A60" s="3" t="inlineStr">
        <is>
          <t>Optimista</t>
        </is>
      </c>
      <c r="B60" s="4" t="n">
        <v>183.14</v>
      </c>
      <c r="C60" s="17" t="n">
        <v>8520</v>
      </c>
      <c r="D60" s="6" t="n">
        <v>0.7421602787456444</v>
      </c>
    </row>
    <row r="61">
      <c r="A61" s="3" t="inlineStr">
        <is>
          <t>Base</t>
        </is>
      </c>
      <c r="B61" s="4" t="n">
        <v>194.83</v>
      </c>
      <c r="C61" s="17" t="n">
        <v>8520</v>
      </c>
      <c r="D61" s="6" t="n">
        <v>0.7421602787456444</v>
      </c>
    </row>
    <row r="62">
      <c r="A62" s="3" t="inlineStr">
        <is>
          <t>Pesimista</t>
        </is>
      </c>
      <c r="B62" s="4" t="n">
        <v>206.52</v>
      </c>
      <c r="C62" s="16" t="n">
        <v>-11480</v>
      </c>
      <c r="D62" s="6" t="n">
        <v>-0.9999999999999997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2026-07-06T06:29:08Z</dcterms:created>
  <dcterms:modified xmlns:dcterms="http://purl.org/dc/terms/" xmlns:xsi="http://www.w3.org/2001/XMLSchema-instance" xsi:type="dcterms:W3CDTF">2026-07-06T06:29:09Z</dcterms:modified>
</cp:coreProperties>
</file>