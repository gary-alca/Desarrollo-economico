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FUTUROS" sheetId="1" state="visible" r:id="rId1"/>
    <sheet xmlns:r="http://schemas.openxmlformats.org/officeDocument/2006/relationships" name="GC" sheetId="2" state="visible" r:id="rId2"/>
    <sheet xmlns:r="http://schemas.openxmlformats.org/officeDocument/2006/relationships" name="CL" sheetId="3" state="visible" r:id="rId3"/>
    <sheet xmlns:r="http://schemas.openxmlformats.org/officeDocument/2006/relationships" name="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1F4E78"/>
    </font>
    <font>
      <b val="1"/>
    </font>
    <font>
      <i val="1"/>
      <color rgb="00C00000"/>
      <sz val="9"/>
    </font>
    <font>
      <b val="1"/>
      <color rgb="00FFFFFF"/>
      <sz val="11"/>
    </font>
    <font>
      <b val="1"/>
      <color rgb="00C00000"/>
    </font>
    <font>
      <i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4" fillId="6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4" fontId="0" fillId="0" borderId="1" pivotButton="0" quotePrefix="0" xfId="0"/>
    <xf numFmtId="3" fontId="0" fillId="4" borderId="1" pivotButton="0" quotePrefix="0" xfId="0"/>
    <xf numFmtId="3" fontId="7" fillId="5" borderId="1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PORTAFOLIO DE FUTUROS — Resumen (18-jun a 9-jul-2026)</t>
        </is>
      </c>
    </row>
    <row r="2">
      <c r="A2" s="2" t="inlineStr">
        <is>
          <t>Marca a mercado con cuenta de margen. Settlements ilustrativos (ver nota metodologica).</t>
        </is>
      </c>
    </row>
    <row r="4">
      <c r="A4" s="3" t="inlineStr">
        <is>
          <t>Activo</t>
        </is>
      </c>
      <c r="B4" s="3" t="inlineStr">
        <is>
          <t>Simbolo</t>
        </is>
      </c>
      <c r="C4" s="3" t="inlineStr">
        <is>
          <t>Mercado</t>
        </is>
      </c>
      <c r="D4" s="3" t="inlineStr">
        <is>
          <t>Posicion</t>
        </is>
      </c>
      <c r="E4" s="3" t="inlineStr">
        <is>
          <t>Contratos</t>
        </is>
      </c>
      <c r="F4" s="3" t="inlineStr">
        <is>
          <t>Tamano</t>
        </is>
      </c>
      <c r="G4" s="3" t="inlineStr">
        <is>
          <t>Valor nocional</t>
        </is>
      </c>
      <c r="H4" s="3" t="inlineStr">
        <is>
          <t>Margen inicial</t>
        </is>
      </c>
      <c r="I4" s="3" t="inlineStr">
        <is>
          <t>G/P acumulada</t>
        </is>
      </c>
      <c r="J4" s="3" t="inlineStr">
        <is>
          <t>Retorno s/margen</t>
        </is>
      </c>
      <c r="K4" s="3" t="inlineStr">
        <is>
          <t>Peso nocional</t>
        </is>
      </c>
    </row>
    <row r="5">
      <c r="A5" s="4" t="inlineStr">
        <is>
          <t>Oro</t>
        </is>
      </c>
      <c r="B5" s="4" t="inlineStr">
        <is>
          <t>GC</t>
        </is>
      </c>
      <c r="C5" s="4" t="inlineStr">
        <is>
          <t>COMEX</t>
        </is>
      </c>
      <c r="D5" s="4" t="inlineStr">
        <is>
          <t>Larga</t>
        </is>
      </c>
      <c r="E5" s="4" t="n">
        <v>3</v>
      </c>
      <c r="F5" s="4" t="n">
        <v>100</v>
      </c>
      <c r="G5" s="5" t="n">
        <v>990000</v>
      </c>
      <c r="H5" s="5" t="n">
        <v>36300</v>
      </c>
      <c r="I5" s="6" t="n">
        <v>39900</v>
      </c>
      <c r="J5" s="7" t="n">
        <v>1.099173553719008</v>
      </c>
      <c r="K5" s="7" t="n">
        <v>0.4779145546705286</v>
      </c>
    </row>
    <row r="6">
      <c r="A6" s="4" t="inlineStr">
        <is>
          <t>Petroleo WTI</t>
        </is>
      </c>
      <c r="B6" s="4" t="inlineStr">
        <is>
          <t>CL</t>
        </is>
      </c>
      <c r="C6" s="4" t="inlineStr">
        <is>
          <t>NYMEX</t>
        </is>
      </c>
      <c r="D6" s="4" t="inlineStr">
        <is>
          <t>Corta</t>
        </is>
      </c>
      <c r="E6" s="4" t="n">
        <v>5</v>
      </c>
      <c r="F6" s="4" t="n">
        <v>1000</v>
      </c>
      <c r="G6" s="5" t="n">
        <v>342000</v>
      </c>
      <c r="H6" s="5" t="n">
        <v>30250</v>
      </c>
      <c r="I6" s="6" t="n">
        <v>35500</v>
      </c>
      <c r="J6" s="7" t="n">
        <v>1.173553719008266</v>
      </c>
      <c r="K6" s="7" t="n">
        <v>0.165097755249819</v>
      </c>
    </row>
    <row r="7">
      <c r="A7" s="4" t="inlineStr">
        <is>
          <t>E-mini S&amp;P 500</t>
        </is>
      </c>
      <c r="B7" s="4" t="inlineStr">
        <is>
          <t>ES</t>
        </is>
      </c>
      <c r="C7" s="4" t="inlineStr">
        <is>
          <t>CME</t>
        </is>
      </c>
      <c r="D7" s="4" t="inlineStr">
        <is>
          <t>Larga</t>
        </is>
      </c>
      <c r="E7" s="4" t="n">
        <v>2</v>
      </c>
      <c r="F7" s="4" t="n">
        <v>50</v>
      </c>
      <c r="G7" s="5" t="n">
        <v>739500</v>
      </c>
      <c r="H7" s="5" t="n">
        <v>37000</v>
      </c>
      <c r="I7" s="6" t="n">
        <v>16600</v>
      </c>
      <c r="J7" s="7" t="n">
        <v>0.4486486486486487</v>
      </c>
      <c r="K7" s="7" t="n">
        <v>0.3569876900796524</v>
      </c>
    </row>
    <row r="8">
      <c r="A8" s="8" t="inlineStr">
        <is>
          <t>TOTAL</t>
        </is>
      </c>
      <c r="B8" s="9" t="n"/>
      <c r="C8" s="9" t="n"/>
      <c r="D8" s="9" t="n"/>
      <c r="E8" s="9" t="n"/>
      <c r="F8" s="9" t="n"/>
      <c r="G8" s="10">
        <f>SUM(G5:G7)</f>
        <v/>
      </c>
      <c r="H8" s="10">
        <f>SUM(H5:H7)</f>
        <v/>
      </c>
      <c r="I8" s="10">
        <f>SUM(I5:I7)</f>
        <v/>
      </c>
      <c r="J8" s="9" t="n"/>
      <c r="K8" s="11">
        <f>SUM(K5:K7)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Oro (GC) — COMEX  ·  Marca a Mercado</t>
        </is>
      </c>
    </row>
    <row r="2">
      <c r="A2" s="12" t="inlineStr">
        <is>
          <t>Posicion: Larga  ·  Tesis: Refugio ante riesgo geopolitico y sesgo dovish de la Fed.</t>
        </is>
      </c>
    </row>
    <row r="4">
      <c r="A4" s="13" t="inlineStr">
        <is>
          <t>PARAMETROS</t>
        </is>
      </c>
    </row>
    <row r="5">
      <c r="A5" s="14" t="inlineStr">
        <is>
          <t>Activo</t>
        </is>
      </c>
      <c r="B5" t="inlineStr">
        <is>
          <t>Oro</t>
        </is>
      </c>
    </row>
    <row r="6">
      <c r="A6" s="14" t="inlineStr">
        <is>
          <t>Mercado</t>
        </is>
      </c>
      <c r="B6" t="inlineStr">
        <is>
          <t>COMEX</t>
        </is>
      </c>
    </row>
    <row r="7">
      <c r="A7" s="14" t="inlineStr">
        <is>
          <t>Posicion (Larga=1 / Corta=-1)</t>
        </is>
      </c>
      <c r="B7" t="n">
        <v>1</v>
      </c>
    </row>
    <row r="8">
      <c r="A8" s="14" t="inlineStr">
        <is>
          <t>N.o de contratos</t>
        </is>
      </c>
      <c r="B8" t="n">
        <v>3</v>
      </c>
    </row>
    <row r="9">
      <c r="A9" s="14" t="inlineStr">
        <is>
          <t>Tamano de contrato</t>
        </is>
      </c>
      <c r="B9" t="n">
        <v>100</v>
      </c>
    </row>
    <row r="10">
      <c r="A10" s="14" t="inlineStr">
        <is>
          <t>Tamano del portafolio (unidades)</t>
        </is>
      </c>
      <c r="B10">
        <f>B8*B9</f>
        <v/>
      </c>
    </row>
    <row r="11">
      <c r="A11" s="14" t="inlineStr">
        <is>
          <t>Margen inicial (por contrato)</t>
        </is>
      </c>
      <c r="B11" s="15" t="n">
        <v>12100</v>
      </c>
    </row>
    <row r="12">
      <c r="A12" s="14" t="inlineStr">
        <is>
          <t>Margen inicial (total)</t>
        </is>
      </c>
      <c r="B12">
        <f>B8*B11</f>
        <v/>
      </c>
    </row>
    <row r="13">
      <c r="A13" s="14" t="inlineStr">
        <is>
          <t>Margen de mantenimiento (por contrato)</t>
        </is>
      </c>
      <c r="B13" s="15" t="n">
        <v>11000</v>
      </c>
    </row>
    <row r="14">
      <c r="A14" s="14" t="inlineStr">
        <is>
          <t>Margen de mantenimiento (total)</t>
        </is>
      </c>
      <c r="B14">
        <f>B8*B13</f>
        <v/>
      </c>
    </row>
    <row r="15">
      <c r="A15" s="14" t="inlineStr">
        <is>
          <t>Precio negociado de entrada</t>
        </is>
      </c>
      <c r="B15" s="15" t="n">
        <v>3300</v>
      </c>
    </row>
    <row r="18">
      <c r="A18" s="13" t="inlineStr">
        <is>
          <t>MARCA A MERCADO DIARIA</t>
        </is>
      </c>
      <c r="F18" s="16" t="inlineStr">
        <is>
          <t>Precios de liquidacion ILUSTRATIVOS (reemplazar por settlement oficial COMEX)</t>
        </is>
      </c>
    </row>
    <row r="19">
      <c r="A19" s="3" t="inlineStr">
        <is>
          <t>Fecha</t>
        </is>
      </c>
      <c r="B19" s="3" t="inlineStr">
        <is>
          <t>Dia</t>
        </is>
      </c>
      <c r="C19" s="3" t="inlineStr">
        <is>
          <t>Precio negociado</t>
        </is>
      </c>
      <c r="D19" s="3" t="inlineStr">
        <is>
          <t>Precio liquidacion</t>
        </is>
      </c>
      <c r="E19" s="3" t="inlineStr">
        <is>
          <t>G/P por unidad</t>
        </is>
      </c>
      <c r="F19" s="3" t="inlineStr">
        <is>
          <t>G/P total diaria</t>
        </is>
      </c>
      <c r="G19" s="3" t="inlineStr">
        <is>
          <t>G/P acumulada</t>
        </is>
      </c>
      <c r="H19" s="3" t="inlineStr">
        <is>
          <t>Cuenta de Margen</t>
        </is>
      </c>
      <c r="I19" s="3" t="inlineStr">
        <is>
          <t>Margin Call</t>
        </is>
      </c>
    </row>
    <row r="20">
      <c r="A20" s="4" t="inlineStr">
        <is>
          <t>2026-06-18</t>
        </is>
      </c>
      <c r="B20" s="4" t="inlineStr">
        <is>
          <t>Jue</t>
        </is>
      </c>
      <c r="C20" s="17">
        <f>$B$15</f>
        <v/>
      </c>
      <c r="D20" s="17" t="n">
        <v>3300</v>
      </c>
      <c r="E20" s="17">
        <f>(D20-$B$15)*$B$7</f>
        <v/>
      </c>
      <c r="F20" s="6">
        <f>E20*$B$10</f>
        <v/>
      </c>
      <c r="G20" s="5">
        <f>F20</f>
        <v/>
      </c>
      <c r="H20" s="5">
        <f>$B$12+F20+I20</f>
        <v/>
      </c>
      <c r="I20" s="5">
        <f>IF($B$12+F20&lt;$B$14,$B$12-($B$12+F20),0)</f>
        <v/>
      </c>
    </row>
    <row r="21">
      <c r="A21" s="4" t="inlineStr">
        <is>
          <t>2026-06-22</t>
        </is>
      </c>
      <c r="B21" s="4" t="inlineStr">
        <is>
          <t>Lun</t>
        </is>
      </c>
      <c r="C21" s="4" t="inlineStr">
        <is>
          <t>—</t>
        </is>
      </c>
      <c r="D21" s="17" t="n">
        <v>3288</v>
      </c>
      <c r="E21" s="17">
        <f>(D21-$D$20)*$B$7</f>
        <v/>
      </c>
      <c r="F21" s="18">
        <f>E21*$B$10</f>
        <v/>
      </c>
      <c r="G21" s="5">
        <f>G20+F21</f>
        <v/>
      </c>
      <c r="H21" s="5">
        <f>$H$20+F21+I21</f>
        <v/>
      </c>
      <c r="I21" s="19">
        <f>IF($H$20+F21&lt;$B$14,$B$12-($H$20+F21),0)</f>
        <v/>
      </c>
    </row>
    <row r="22">
      <c r="A22" s="4" t="inlineStr">
        <is>
          <t>2026-06-23</t>
        </is>
      </c>
      <c r="B22" s="4" t="inlineStr">
        <is>
          <t>Mar</t>
        </is>
      </c>
      <c r="C22" s="4" t="inlineStr">
        <is>
          <t>—</t>
        </is>
      </c>
      <c r="D22" s="17" t="n">
        <v>3305</v>
      </c>
      <c r="E22" s="17">
        <f>(D22-$D$21)*$B$7</f>
        <v/>
      </c>
      <c r="F22" s="6">
        <f>E22*$B$10</f>
        <v/>
      </c>
      <c r="G22" s="5">
        <f>G21+F22</f>
        <v/>
      </c>
      <c r="H22" s="5">
        <f>$H$21+F22+I22</f>
        <v/>
      </c>
      <c r="I22" s="5">
        <f>IF($H$21+F22&lt;$B$14,$B$12-($H$21+F22),0)</f>
        <v/>
      </c>
    </row>
    <row r="23">
      <c r="A23" s="4" t="inlineStr">
        <is>
          <t>2026-06-24</t>
        </is>
      </c>
      <c r="B23" s="4" t="inlineStr">
        <is>
          <t>Mie</t>
        </is>
      </c>
      <c r="C23" s="4" t="inlineStr">
        <is>
          <t>—</t>
        </is>
      </c>
      <c r="D23" s="17" t="n">
        <v>3322</v>
      </c>
      <c r="E23" s="17">
        <f>(D23-$D$22)*$B$7</f>
        <v/>
      </c>
      <c r="F23" s="6">
        <f>E23*$B$10</f>
        <v/>
      </c>
      <c r="G23" s="5">
        <f>G22+F23</f>
        <v/>
      </c>
      <c r="H23" s="5">
        <f>$H$22+F23+I23</f>
        <v/>
      </c>
      <c r="I23" s="5">
        <f>IF($H$22+F23&lt;$B$14,$B$12-($H$22+F23),0)</f>
        <v/>
      </c>
    </row>
    <row r="24">
      <c r="A24" s="4" t="inlineStr">
        <is>
          <t>2026-06-25</t>
        </is>
      </c>
      <c r="B24" s="4" t="inlineStr">
        <is>
          <t>Jue</t>
        </is>
      </c>
      <c r="C24" s="4" t="inlineStr">
        <is>
          <t>—</t>
        </is>
      </c>
      <c r="D24" s="17" t="n">
        <v>3341</v>
      </c>
      <c r="E24" s="17">
        <f>(D24-$D$23)*$B$7</f>
        <v/>
      </c>
      <c r="F24" s="6">
        <f>E24*$B$10</f>
        <v/>
      </c>
      <c r="G24" s="5">
        <f>G23+F24</f>
        <v/>
      </c>
      <c r="H24" s="5">
        <f>$H$23+F24+I24</f>
        <v/>
      </c>
      <c r="I24" s="5">
        <f>IF($H$23+F24&lt;$B$14,$B$12-($H$23+F24),0)</f>
        <v/>
      </c>
    </row>
    <row r="25">
      <c r="A25" s="4" t="inlineStr">
        <is>
          <t>2026-06-26</t>
        </is>
      </c>
      <c r="B25" s="4" t="inlineStr">
        <is>
          <t>Vie</t>
        </is>
      </c>
      <c r="C25" s="4" t="inlineStr">
        <is>
          <t>—</t>
        </is>
      </c>
      <c r="D25" s="17" t="n">
        <v>3355</v>
      </c>
      <c r="E25" s="17">
        <f>(D25-$D$24)*$B$7</f>
        <v/>
      </c>
      <c r="F25" s="6">
        <f>E25*$B$10</f>
        <v/>
      </c>
      <c r="G25" s="5">
        <f>G24+F25</f>
        <v/>
      </c>
      <c r="H25" s="5">
        <f>$H$24+F25+I25</f>
        <v/>
      </c>
      <c r="I25" s="5">
        <f>IF($H$24+F25&lt;$B$14,$B$12-($H$24+F25),0)</f>
        <v/>
      </c>
    </row>
    <row r="26">
      <c r="A26" s="4" t="inlineStr">
        <is>
          <t>2026-06-29</t>
        </is>
      </c>
      <c r="B26" s="4" t="inlineStr">
        <is>
          <t>Lun</t>
        </is>
      </c>
      <c r="C26" s="4" t="inlineStr">
        <is>
          <t>—</t>
        </is>
      </c>
      <c r="D26" s="17" t="n">
        <v>3348</v>
      </c>
      <c r="E26" s="17">
        <f>(D26-$D$25)*$B$7</f>
        <v/>
      </c>
      <c r="F26" s="18">
        <f>E26*$B$10</f>
        <v/>
      </c>
      <c r="G26" s="5">
        <f>G25+F26</f>
        <v/>
      </c>
      <c r="H26" s="5">
        <f>$H$25+F26+I26</f>
        <v/>
      </c>
      <c r="I26" s="5">
        <f>IF($H$25+F26&lt;$B$14,$B$12-($H$25+F26),0)</f>
        <v/>
      </c>
    </row>
    <row r="27">
      <c r="A27" s="4" t="inlineStr">
        <is>
          <t>2026-06-30</t>
        </is>
      </c>
      <c r="B27" s="4" t="inlineStr">
        <is>
          <t>Mar</t>
        </is>
      </c>
      <c r="C27" s="4" t="inlineStr">
        <is>
          <t>—</t>
        </is>
      </c>
      <c r="D27" s="17" t="n">
        <v>3362</v>
      </c>
      <c r="E27" s="17">
        <f>(D27-$D$26)*$B$7</f>
        <v/>
      </c>
      <c r="F27" s="6">
        <f>E27*$B$10</f>
        <v/>
      </c>
      <c r="G27" s="5">
        <f>G26+F27</f>
        <v/>
      </c>
      <c r="H27" s="5">
        <f>$H$26+F27+I27</f>
        <v/>
      </c>
      <c r="I27" s="5">
        <f>IF($H$26+F27&lt;$B$14,$B$12-($H$26+F27),0)</f>
        <v/>
      </c>
    </row>
    <row r="28">
      <c r="A28" s="4" t="inlineStr">
        <is>
          <t>2026-07-01</t>
        </is>
      </c>
      <c r="B28" s="4" t="inlineStr">
        <is>
          <t>Mie</t>
        </is>
      </c>
      <c r="C28" s="4" t="inlineStr">
        <is>
          <t>—</t>
        </is>
      </c>
      <c r="D28" s="17" t="n">
        <v>3379</v>
      </c>
      <c r="E28" s="17">
        <f>(D28-$D$27)*$B$7</f>
        <v/>
      </c>
      <c r="F28" s="6">
        <f>E28*$B$10</f>
        <v/>
      </c>
      <c r="G28" s="5">
        <f>G27+F28</f>
        <v/>
      </c>
      <c r="H28" s="5">
        <f>$H$27+F28+I28</f>
        <v/>
      </c>
      <c r="I28" s="5">
        <f>IF($H$27+F28&lt;$B$14,$B$12-($H$27+F28),0)</f>
        <v/>
      </c>
    </row>
    <row r="29">
      <c r="A29" s="4" t="inlineStr">
        <is>
          <t>2026-07-02</t>
        </is>
      </c>
      <c r="B29" s="4" t="inlineStr">
        <is>
          <t>Jue</t>
        </is>
      </c>
      <c r="C29" s="4" t="inlineStr">
        <is>
          <t>—</t>
        </is>
      </c>
      <c r="D29" s="17" t="n">
        <v>3395</v>
      </c>
      <c r="E29" s="17">
        <f>(D29-$D$28)*$B$7</f>
        <v/>
      </c>
      <c r="F29" s="6">
        <f>E29*$B$10</f>
        <v/>
      </c>
      <c r="G29" s="5">
        <f>G28+F29</f>
        <v/>
      </c>
      <c r="H29" s="5">
        <f>$H$28+F29+I29</f>
        <v/>
      </c>
      <c r="I29" s="5">
        <f>IF($H$28+F29&lt;$B$14,$B$12-($H$28+F29),0)</f>
        <v/>
      </c>
    </row>
    <row r="30">
      <c r="A30" s="4" t="inlineStr">
        <is>
          <t>2026-07-06</t>
        </is>
      </c>
      <c r="B30" s="4" t="inlineStr">
        <is>
          <t>Lun</t>
        </is>
      </c>
      <c r="C30" s="4" t="inlineStr">
        <is>
          <t>—</t>
        </is>
      </c>
      <c r="D30" s="17" t="n">
        <v>3410</v>
      </c>
      <c r="E30" s="17">
        <f>(D30-$D$29)*$B$7</f>
        <v/>
      </c>
      <c r="F30" s="6">
        <f>E30*$B$10</f>
        <v/>
      </c>
      <c r="G30" s="5">
        <f>G29+F30</f>
        <v/>
      </c>
      <c r="H30" s="5">
        <f>$H$29+F30+I30</f>
        <v/>
      </c>
      <c r="I30" s="5">
        <f>IF($H$29+F30&lt;$B$14,$B$12-($H$29+F30),0)</f>
        <v/>
      </c>
    </row>
    <row r="31">
      <c r="A31" s="4" t="inlineStr">
        <is>
          <t>2026-07-07</t>
        </is>
      </c>
      <c r="B31" s="4" t="inlineStr">
        <is>
          <t>Mar</t>
        </is>
      </c>
      <c r="C31" s="4" t="inlineStr">
        <is>
          <t>—</t>
        </is>
      </c>
      <c r="D31" s="17" t="n">
        <v>3402</v>
      </c>
      <c r="E31" s="17">
        <f>(D31-$D$30)*$B$7</f>
        <v/>
      </c>
      <c r="F31" s="18">
        <f>E31*$B$10</f>
        <v/>
      </c>
      <c r="G31" s="5">
        <f>G30+F31</f>
        <v/>
      </c>
      <c r="H31" s="5">
        <f>$H$30+F31+I31</f>
        <v/>
      </c>
      <c r="I31" s="5">
        <f>IF($H$30+F31&lt;$B$14,$B$12-($H$30+F31),0)</f>
        <v/>
      </c>
    </row>
    <row r="32">
      <c r="A32" s="4" t="inlineStr">
        <is>
          <t>2026-07-08</t>
        </is>
      </c>
      <c r="B32" s="4" t="inlineStr">
        <is>
          <t>Mie</t>
        </is>
      </c>
      <c r="C32" s="4" t="inlineStr">
        <is>
          <t>—</t>
        </is>
      </c>
      <c r="D32" s="17" t="n">
        <v>3418</v>
      </c>
      <c r="E32" s="17">
        <f>(D32-$D$31)*$B$7</f>
        <v/>
      </c>
      <c r="F32" s="6">
        <f>E32*$B$10</f>
        <v/>
      </c>
      <c r="G32" s="5">
        <f>G31+F32</f>
        <v/>
      </c>
      <c r="H32" s="5">
        <f>$H$31+F32+I32</f>
        <v/>
      </c>
      <c r="I32" s="5">
        <f>IF($H$31+F32&lt;$B$14,$B$12-($H$31+F32),0)</f>
        <v/>
      </c>
    </row>
    <row r="33">
      <c r="A33" s="4" t="inlineStr">
        <is>
          <t>2026-07-09</t>
        </is>
      </c>
      <c r="B33" s="4" t="inlineStr">
        <is>
          <t>Jue</t>
        </is>
      </c>
      <c r="C33" s="4" t="inlineStr">
        <is>
          <t>—</t>
        </is>
      </c>
      <c r="D33" s="17" t="n">
        <v>3433</v>
      </c>
      <c r="E33" s="17">
        <f>(D33-$D$32)*$B$7</f>
        <v/>
      </c>
      <c r="F33" s="6">
        <f>E33*$B$10</f>
        <v/>
      </c>
      <c r="G33" s="5">
        <f>G32+F33</f>
        <v/>
      </c>
      <c r="H33" s="5">
        <f>$H$32+F33+I33</f>
        <v/>
      </c>
      <c r="I33" s="5">
        <f>IF($H$32+F33&lt;$B$14,$B$12-($H$32+F33),0)</f>
        <v/>
      </c>
    </row>
    <row r="35">
      <c r="A35" s="13" t="inlineStr">
        <is>
          <t>RESUMEN</t>
        </is>
      </c>
    </row>
    <row r="36">
      <c r="A36" s="14" t="inlineStr">
        <is>
          <t>G/P acumulada total (USD)</t>
        </is>
      </c>
      <c r="C36" s="20">
        <f>G33</f>
        <v/>
      </c>
    </row>
    <row r="37">
      <c r="A37" s="14" t="inlineStr">
        <is>
          <t>Reposiciones por Margin Call (USD)</t>
        </is>
      </c>
      <c r="C37" s="20">
        <f>SUM(I20:I33)</f>
        <v/>
      </c>
    </row>
    <row r="38">
      <c r="A38" s="14" t="inlineStr">
        <is>
          <t>Cuenta de margen final (USD)</t>
        </is>
      </c>
      <c r="C38" s="20">
        <f>H33</f>
        <v/>
      </c>
    </row>
    <row r="39">
      <c r="A39" s="14" t="inlineStr">
        <is>
          <t>Valor nocional inicial (USD)</t>
        </is>
      </c>
      <c r="C39" s="20">
        <f>$B$15*$B$10</f>
        <v/>
      </c>
    </row>
    <row r="40">
      <c r="A40" s="14" t="inlineStr">
        <is>
          <t>Margen inicial total (USD)</t>
        </is>
      </c>
      <c r="C40" s="20">
        <f>$B$12</f>
        <v/>
      </c>
    </row>
    <row r="41">
      <c r="A41" s="14" t="inlineStr">
        <is>
          <t>Retorno s/ margen inicial</t>
        </is>
      </c>
      <c r="C41" s="21">
        <f>G33/$B$12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Petroleo WTI (CL) — NYMEX  ·  Marca a Mercado</t>
        </is>
      </c>
    </row>
    <row r="2">
      <c r="A2" s="12" t="inlineStr">
        <is>
          <t>Posicion: Corta  ·  Tesis: Distension EE.UU.-Iran y mayor oferta -&gt; presion bajista del crudo.</t>
        </is>
      </c>
    </row>
    <row r="4">
      <c r="A4" s="13" t="inlineStr">
        <is>
          <t>PARAMETROS</t>
        </is>
      </c>
    </row>
    <row r="5">
      <c r="A5" s="14" t="inlineStr">
        <is>
          <t>Activo</t>
        </is>
      </c>
      <c r="B5" t="inlineStr">
        <is>
          <t>Petroleo WTI</t>
        </is>
      </c>
    </row>
    <row r="6">
      <c r="A6" s="14" t="inlineStr">
        <is>
          <t>Mercado</t>
        </is>
      </c>
      <c r="B6" t="inlineStr">
        <is>
          <t>NYMEX</t>
        </is>
      </c>
    </row>
    <row r="7">
      <c r="A7" s="14" t="inlineStr">
        <is>
          <t>Posicion (Larga=1 / Corta=-1)</t>
        </is>
      </c>
      <c r="B7" t="n">
        <v>-1</v>
      </c>
    </row>
    <row r="8">
      <c r="A8" s="14" t="inlineStr">
        <is>
          <t>N.o de contratos</t>
        </is>
      </c>
      <c r="B8" t="n">
        <v>5</v>
      </c>
    </row>
    <row r="9">
      <c r="A9" s="14" t="inlineStr">
        <is>
          <t>Tamano de contrato</t>
        </is>
      </c>
      <c r="B9" s="15" t="n">
        <v>1000</v>
      </c>
    </row>
    <row r="10">
      <c r="A10" s="14" t="inlineStr">
        <is>
          <t>Tamano del portafolio (unidades)</t>
        </is>
      </c>
      <c r="B10">
        <f>B8*B9</f>
        <v/>
      </c>
    </row>
    <row r="11">
      <c r="A11" s="14" t="inlineStr">
        <is>
          <t>Margen inicial (por contrato)</t>
        </is>
      </c>
      <c r="B11" s="15" t="n">
        <v>6050</v>
      </c>
    </row>
    <row r="12">
      <c r="A12" s="14" t="inlineStr">
        <is>
          <t>Margen inicial (total)</t>
        </is>
      </c>
      <c r="B12">
        <f>B8*B11</f>
        <v/>
      </c>
    </row>
    <row r="13">
      <c r="A13" s="14" t="inlineStr">
        <is>
          <t>Margen de mantenimiento (por contrato)</t>
        </is>
      </c>
      <c r="B13" s="15" t="n">
        <v>5500</v>
      </c>
    </row>
    <row r="14">
      <c r="A14" s="14" t="inlineStr">
        <is>
          <t>Margen de mantenimiento (total)</t>
        </is>
      </c>
      <c r="B14">
        <f>B8*B13</f>
        <v/>
      </c>
    </row>
    <row r="15">
      <c r="A15" s="14" t="inlineStr">
        <is>
          <t>Precio negociado de entrada</t>
        </is>
      </c>
      <c r="B15" t="n">
        <v>68.40000000000001</v>
      </c>
    </row>
    <row r="18">
      <c r="A18" s="13" t="inlineStr">
        <is>
          <t>MARCA A MERCADO DIARIA</t>
        </is>
      </c>
      <c r="F18" s="16" t="inlineStr">
        <is>
          <t>Precios de liquidacion ILUSTRATIVOS (reemplazar por settlement oficial NYMEX)</t>
        </is>
      </c>
    </row>
    <row r="19">
      <c r="A19" s="3" t="inlineStr">
        <is>
          <t>Fecha</t>
        </is>
      </c>
      <c r="B19" s="3" t="inlineStr">
        <is>
          <t>Dia</t>
        </is>
      </c>
      <c r="C19" s="3" t="inlineStr">
        <is>
          <t>Precio negociado</t>
        </is>
      </c>
      <c r="D19" s="3" t="inlineStr">
        <is>
          <t>Precio liquidacion</t>
        </is>
      </c>
      <c r="E19" s="3" t="inlineStr">
        <is>
          <t>G/P por unidad</t>
        </is>
      </c>
      <c r="F19" s="3" t="inlineStr">
        <is>
          <t>G/P total diaria</t>
        </is>
      </c>
      <c r="G19" s="3" t="inlineStr">
        <is>
          <t>G/P acumulada</t>
        </is>
      </c>
      <c r="H19" s="3" t="inlineStr">
        <is>
          <t>Cuenta de Margen</t>
        </is>
      </c>
      <c r="I19" s="3" t="inlineStr">
        <is>
          <t>Margin Call</t>
        </is>
      </c>
    </row>
    <row r="20">
      <c r="A20" s="4" t="inlineStr">
        <is>
          <t>2026-06-18</t>
        </is>
      </c>
      <c r="B20" s="4" t="inlineStr">
        <is>
          <t>Jue</t>
        </is>
      </c>
      <c r="C20" s="17">
        <f>$B$15</f>
        <v/>
      </c>
      <c r="D20" s="17" t="n">
        <v>68.40000000000001</v>
      </c>
      <c r="E20" s="17">
        <f>(D20-$B$15)*$B$7</f>
        <v/>
      </c>
      <c r="F20" s="6">
        <f>E20*$B$10</f>
        <v/>
      </c>
      <c r="G20" s="5">
        <f>F20</f>
        <v/>
      </c>
      <c r="H20" s="5">
        <f>$B$12+F20+I20</f>
        <v/>
      </c>
      <c r="I20" s="5">
        <f>IF($B$12+F20&lt;$B$14,$B$12-($B$12+F20),0)</f>
        <v/>
      </c>
    </row>
    <row r="21">
      <c r="A21" s="4" t="inlineStr">
        <is>
          <t>2026-06-22</t>
        </is>
      </c>
      <c r="B21" s="4" t="inlineStr">
        <is>
          <t>Lun</t>
        </is>
      </c>
      <c r="C21" s="4" t="inlineStr">
        <is>
          <t>—</t>
        </is>
      </c>
      <c r="D21" s="17" t="n">
        <v>67.09999999999999</v>
      </c>
      <c r="E21" s="17">
        <f>(D21-$D$20)*$B$7</f>
        <v/>
      </c>
      <c r="F21" s="6">
        <f>E21*$B$10</f>
        <v/>
      </c>
      <c r="G21" s="5">
        <f>G20+F21</f>
        <v/>
      </c>
      <c r="H21" s="5">
        <f>$H$20+F21+I21</f>
        <v/>
      </c>
      <c r="I21" s="5">
        <f>IF($H$20+F21&lt;$B$14,$B$12-($H$20+F21),0)</f>
        <v/>
      </c>
    </row>
    <row r="22">
      <c r="A22" s="4" t="inlineStr">
        <is>
          <t>2026-06-23</t>
        </is>
      </c>
      <c r="B22" s="4" t="inlineStr">
        <is>
          <t>Mar</t>
        </is>
      </c>
      <c r="C22" s="4" t="inlineStr">
        <is>
          <t>—</t>
        </is>
      </c>
      <c r="D22" s="17" t="n">
        <v>66.2</v>
      </c>
      <c r="E22" s="17">
        <f>(D22-$D$21)*$B$7</f>
        <v/>
      </c>
      <c r="F22" s="6">
        <f>E22*$B$10</f>
        <v/>
      </c>
      <c r="G22" s="5">
        <f>G21+F22</f>
        <v/>
      </c>
      <c r="H22" s="5">
        <f>$H$21+F22+I22</f>
        <v/>
      </c>
      <c r="I22" s="5">
        <f>IF($H$21+F22&lt;$B$14,$B$12-($H$21+F22),0)</f>
        <v/>
      </c>
    </row>
    <row r="23">
      <c r="A23" s="4" t="inlineStr">
        <is>
          <t>2026-06-24</t>
        </is>
      </c>
      <c r="B23" s="4" t="inlineStr">
        <is>
          <t>Mie</t>
        </is>
      </c>
      <c r="C23" s="4" t="inlineStr">
        <is>
          <t>—</t>
        </is>
      </c>
      <c r="D23" s="17" t="n">
        <v>68.90000000000001</v>
      </c>
      <c r="E23" s="17">
        <f>(D23-$D$22)*$B$7</f>
        <v/>
      </c>
      <c r="F23" s="18">
        <f>E23*$B$10</f>
        <v/>
      </c>
      <c r="G23" s="5">
        <f>G22+F23</f>
        <v/>
      </c>
      <c r="H23" s="5">
        <f>$H$22+F23+I23</f>
        <v/>
      </c>
      <c r="I23" s="5">
        <f>IF($H$22+F23&lt;$B$14,$B$12-($H$22+F23),0)</f>
        <v/>
      </c>
    </row>
    <row r="24">
      <c r="A24" s="4" t="inlineStr">
        <is>
          <t>2026-06-25</t>
        </is>
      </c>
      <c r="B24" s="4" t="inlineStr">
        <is>
          <t>Jue</t>
        </is>
      </c>
      <c r="C24" s="4" t="inlineStr">
        <is>
          <t>—</t>
        </is>
      </c>
      <c r="D24" s="17" t="n">
        <v>70.3</v>
      </c>
      <c r="E24" s="17">
        <f>(D24-$D$23)*$B$7</f>
        <v/>
      </c>
      <c r="F24" s="18">
        <f>E24*$B$10</f>
        <v/>
      </c>
      <c r="G24" s="5">
        <f>G23+F24</f>
        <v/>
      </c>
      <c r="H24" s="5">
        <f>$H$23+F24+I24</f>
        <v/>
      </c>
      <c r="I24" s="19">
        <f>IF($H$23+F24&lt;$B$14,$B$12-($H$23+F24),0)</f>
        <v/>
      </c>
    </row>
    <row r="25">
      <c r="A25" s="4" t="inlineStr">
        <is>
          <t>2026-06-26</t>
        </is>
      </c>
      <c r="B25" s="4" t="inlineStr">
        <is>
          <t>Vie</t>
        </is>
      </c>
      <c r="C25" s="4" t="inlineStr">
        <is>
          <t>—</t>
        </is>
      </c>
      <c r="D25" s="17" t="n">
        <v>69.09999999999999</v>
      </c>
      <c r="E25" s="17">
        <f>(D25-$D$24)*$B$7</f>
        <v/>
      </c>
      <c r="F25" s="6">
        <f>E25*$B$10</f>
        <v/>
      </c>
      <c r="G25" s="5">
        <f>G24+F25</f>
        <v/>
      </c>
      <c r="H25" s="5">
        <f>$H$24+F25+I25</f>
        <v/>
      </c>
      <c r="I25" s="5">
        <f>IF($H$24+F25&lt;$B$14,$B$12-($H$24+F25),0)</f>
        <v/>
      </c>
    </row>
    <row r="26">
      <c r="A26" s="4" t="inlineStr">
        <is>
          <t>2026-06-29</t>
        </is>
      </c>
      <c r="B26" s="4" t="inlineStr">
        <is>
          <t>Lun</t>
        </is>
      </c>
      <c r="C26" s="4" t="inlineStr">
        <is>
          <t>—</t>
        </is>
      </c>
      <c r="D26" s="17" t="n">
        <v>67.8</v>
      </c>
      <c r="E26" s="17">
        <f>(D26-$D$25)*$B$7</f>
        <v/>
      </c>
      <c r="F26" s="6">
        <f>E26*$B$10</f>
        <v/>
      </c>
      <c r="G26" s="5">
        <f>G25+F26</f>
        <v/>
      </c>
      <c r="H26" s="5">
        <f>$H$25+F26+I26</f>
        <v/>
      </c>
      <c r="I26" s="5">
        <f>IF($H$25+F26&lt;$B$14,$B$12-($H$25+F26),0)</f>
        <v/>
      </c>
    </row>
    <row r="27">
      <c r="A27" s="4" t="inlineStr">
        <is>
          <t>2026-06-30</t>
        </is>
      </c>
      <c r="B27" s="4" t="inlineStr">
        <is>
          <t>Mar</t>
        </is>
      </c>
      <c r="C27" s="4" t="inlineStr">
        <is>
          <t>—</t>
        </is>
      </c>
      <c r="D27" s="17" t="n">
        <v>66.5</v>
      </c>
      <c r="E27" s="17">
        <f>(D27-$D$26)*$B$7</f>
        <v/>
      </c>
      <c r="F27" s="6">
        <f>E27*$B$10</f>
        <v/>
      </c>
      <c r="G27" s="5">
        <f>G26+F27</f>
        <v/>
      </c>
      <c r="H27" s="5">
        <f>$H$26+F27+I27</f>
        <v/>
      </c>
      <c r="I27" s="5">
        <f>IF($H$26+F27&lt;$B$14,$B$12-($H$26+F27),0)</f>
        <v/>
      </c>
    </row>
    <row r="28">
      <c r="A28" s="4" t="inlineStr">
        <is>
          <t>2026-07-01</t>
        </is>
      </c>
      <c r="B28" s="4" t="inlineStr">
        <is>
          <t>Mie</t>
        </is>
      </c>
      <c r="C28" s="4" t="inlineStr">
        <is>
          <t>—</t>
        </is>
      </c>
      <c r="D28" s="17" t="n">
        <v>65.40000000000001</v>
      </c>
      <c r="E28" s="17">
        <f>(D28-$D$27)*$B$7</f>
        <v/>
      </c>
      <c r="F28" s="6">
        <f>E28*$B$10</f>
        <v/>
      </c>
      <c r="G28" s="5">
        <f>G27+F28</f>
        <v/>
      </c>
      <c r="H28" s="5">
        <f>$H$27+F28+I28</f>
        <v/>
      </c>
      <c r="I28" s="5">
        <f>IF($H$27+F28&lt;$B$14,$B$12-($H$27+F28),0)</f>
        <v/>
      </c>
    </row>
    <row r="29">
      <c r="A29" s="4" t="inlineStr">
        <is>
          <t>2026-07-02</t>
        </is>
      </c>
      <c r="B29" s="4" t="inlineStr">
        <is>
          <t>Jue</t>
        </is>
      </c>
      <c r="C29" s="4" t="inlineStr">
        <is>
          <t>—</t>
        </is>
      </c>
      <c r="D29" s="17" t="n">
        <v>64.2</v>
      </c>
      <c r="E29" s="17">
        <f>(D29-$D$28)*$B$7</f>
        <v/>
      </c>
      <c r="F29" s="6">
        <f>E29*$B$10</f>
        <v/>
      </c>
      <c r="G29" s="5">
        <f>G28+F29</f>
        <v/>
      </c>
      <c r="H29" s="5">
        <f>$H$28+F29+I29</f>
        <v/>
      </c>
      <c r="I29" s="5">
        <f>IF($H$28+F29&lt;$B$14,$B$12-($H$28+F29),0)</f>
        <v/>
      </c>
    </row>
    <row r="30">
      <c r="A30" s="4" t="inlineStr">
        <is>
          <t>2026-07-06</t>
        </is>
      </c>
      <c r="B30" s="4" t="inlineStr">
        <is>
          <t>Lun</t>
        </is>
      </c>
      <c r="C30" s="4" t="inlineStr">
        <is>
          <t>—</t>
        </is>
      </c>
      <c r="D30" s="17" t="n">
        <v>63.1</v>
      </c>
      <c r="E30" s="17">
        <f>(D30-$D$29)*$B$7</f>
        <v/>
      </c>
      <c r="F30" s="6">
        <f>E30*$B$10</f>
        <v/>
      </c>
      <c r="G30" s="5">
        <f>G29+F30</f>
        <v/>
      </c>
      <c r="H30" s="5">
        <f>$H$29+F30+I30</f>
        <v/>
      </c>
      <c r="I30" s="5">
        <f>IF($H$29+F30&lt;$B$14,$B$12-($H$29+F30),0)</f>
        <v/>
      </c>
    </row>
    <row r="31">
      <c r="A31" s="4" t="inlineStr">
        <is>
          <t>2026-07-07</t>
        </is>
      </c>
      <c r="B31" s="4" t="inlineStr">
        <is>
          <t>Mar</t>
        </is>
      </c>
      <c r="C31" s="4" t="inlineStr">
        <is>
          <t>—</t>
        </is>
      </c>
      <c r="D31" s="17" t="n">
        <v>63.8</v>
      </c>
      <c r="E31" s="17">
        <f>(D31-$D$30)*$B$7</f>
        <v/>
      </c>
      <c r="F31" s="18">
        <f>E31*$B$10</f>
        <v/>
      </c>
      <c r="G31" s="5">
        <f>G30+F31</f>
        <v/>
      </c>
      <c r="H31" s="5">
        <f>$H$30+F31+I31</f>
        <v/>
      </c>
      <c r="I31" s="5">
        <f>IF($H$30+F31&lt;$B$14,$B$12-($H$30+F31),0)</f>
        <v/>
      </c>
    </row>
    <row r="32">
      <c r="A32" s="4" t="inlineStr">
        <is>
          <t>2026-07-08</t>
        </is>
      </c>
      <c r="B32" s="4" t="inlineStr">
        <is>
          <t>Mie</t>
        </is>
      </c>
      <c r="C32" s="4" t="inlineStr">
        <is>
          <t>—</t>
        </is>
      </c>
      <c r="D32" s="17" t="n">
        <v>62.4</v>
      </c>
      <c r="E32" s="17">
        <f>(D32-$D$31)*$B$7</f>
        <v/>
      </c>
      <c r="F32" s="6">
        <f>E32*$B$10</f>
        <v/>
      </c>
      <c r="G32" s="5">
        <f>G31+F32</f>
        <v/>
      </c>
      <c r="H32" s="5">
        <f>$H$31+F32+I32</f>
        <v/>
      </c>
      <c r="I32" s="5">
        <f>IF($H$31+F32&lt;$B$14,$B$12-($H$31+F32),0)</f>
        <v/>
      </c>
    </row>
    <row r="33">
      <c r="A33" s="4" t="inlineStr">
        <is>
          <t>2026-07-09</t>
        </is>
      </c>
      <c r="B33" s="4" t="inlineStr">
        <is>
          <t>Jue</t>
        </is>
      </c>
      <c r="C33" s="4" t="inlineStr">
        <is>
          <t>—</t>
        </is>
      </c>
      <c r="D33" s="17" t="n">
        <v>61.3</v>
      </c>
      <c r="E33" s="17">
        <f>(D33-$D$32)*$B$7</f>
        <v/>
      </c>
      <c r="F33" s="6">
        <f>E33*$B$10</f>
        <v/>
      </c>
      <c r="G33" s="5">
        <f>G32+F33</f>
        <v/>
      </c>
      <c r="H33" s="5">
        <f>$H$32+F33+I33</f>
        <v/>
      </c>
      <c r="I33" s="5">
        <f>IF($H$32+F33&lt;$B$14,$B$12-($H$32+F33),0)</f>
        <v/>
      </c>
    </row>
    <row r="35">
      <c r="A35" s="13" t="inlineStr">
        <is>
          <t>RESUMEN</t>
        </is>
      </c>
    </row>
    <row r="36">
      <c r="A36" s="14" t="inlineStr">
        <is>
          <t>G/P acumulada total (USD)</t>
        </is>
      </c>
      <c r="C36" s="20">
        <f>G33</f>
        <v/>
      </c>
    </row>
    <row r="37">
      <c r="A37" s="14" t="inlineStr">
        <is>
          <t>Reposiciones por Margin Call (USD)</t>
        </is>
      </c>
      <c r="C37" s="20">
        <f>SUM(I20:I33)</f>
        <v/>
      </c>
    </row>
    <row r="38">
      <c r="A38" s="14" t="inlineStr">
        <is>
          <t>Cuenta de margen final (USD)</t>
        </is>
      </c>
      <c r="C38" s="20">
        <f>H33</f>
        <v/>
      </c>
    </row>
    <row r="39">
      <c r="A39" s="14" t="inlineStr">
        <is>
          <t>Valor nocional inicial (USD)</t>
        </is>
      </c>
      <c r="C39" s="20">
        <f>$B$15*$B$10</f>
        <v/>
      </c>
    </row>
    <row r="40">
      <c r="A40" s="14" t="inlineStr">
        <is>
          <t>Margen inicial total (USD)</t>
        </is>
      </c>
      <c r="C40" s="20">
        <f>$B$12</f>
        <v/>
      </c>
    </row>
    <row r="41">
      <c r="A41" s="14" t="inlineStr">
        <is>
          <t>Retorno s/ margen inicial</t>
        </is>
      </c>
      <c r="C41" s="21">
        <f>G33/$B$12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E-mini S&amp;P 500 (ES) — CME  ·  Marca a Mercado</t>
        </is>
      </c>
    </row>
    <row r="2">
      <c r="A2" s="12" t="inlineStr">
        <is>
          <t>Posicion: Larga  ·  Tesis: Mercado que sube despacio en semana de pocos catalizadores.</t>
        </is>
      </c>
    </row>
    <row r="4">
      <c r="A4" s="13" t="inlineStr">
        <is>
          <t>PARAMETROS</t>
        </is>
      </c>
    </row>
    <row r="5">
      <c r="A5" s="14" t="inlineStr">
        <is>
          <t>Activo</t>
        </is>
      </c>
      <c r="B5" t="inlineStr">
        <is>
          <t>E-mini S&amp;P 500</t>
        </is>
      </c>
    </row>
    <row r="6">
      <c r="A6" s="14" t="inlineStr">
        <is>
          <t>Mercado</t>
        </is>
      </c>
      <c r="B6" t="inlineStr">
        <is>
          <t>CME</t>
        </is>
      </c>
    </row>
    <row r="7">
      <c r="A7" s="14" t="inlineStr">
        <is>
          <t>Posicion (Larga=1 / Corta=-1)</t>
        </is>
      </c>
      <c r="B7" t="n">
        <v>1</v>
      </c>
    </row>
    <row r="8">
      <c r="A8" s="14" t="inlineStr">
        <is>
          <t>N.o de contratos</t>
        </is>
      </c>
      <c r="B8" t="n">
        <v>2</v>
      </c>
    </row>
    <row r="9">
      <c r="A9" s="14" t="inlineStr">
        <is>
          <t>Tamano de contrato</t>
        </is>
      </c>
      <c r="B9" t="n">
        <v>50</v>
      </c>
    </row>
    <row r="10">
      <c r="A10" s="14" t="inlineStr">
        <is>
          <t>Tamano del portafolio (unidades)</t>
        </is>
      </c>
      <c r="B10">
        <f>B8*B9</f>
        <v/>
      </c>
    </row>
    <row r="11">
      <c r="A11" s="14" t="inlineStr">
        <is>
          <t>Margen inicial (por contrato)</t>
        </is>
      </c>
      <c r="B11" s="15" t="n">
        <v>18500</v>
      </c>
    </row>
    <row r="12">
      <c r="A12" s="14" t="inlineStr">
        <is>
          <t>Margen inicial (total)</t>
        </is>
      </c>
      <c r="B12">
        <f>B8*B11</f>
        <v/>
      </c>
    </row>
    <row r="13">
      <c r="A13" s="14" t="inlineStr">
        <is>
          <t>Margen de mantenimiento (por contrato)</t>
        </is>
      </c>
      <c r="B13" s="15" t="n">
        <v>16800</v>
      </c>
    </row>
    <row r="14">
      <c r="A14" s="14" t="inlineStr">
        <is>
          <t>Margen de mantenimiento (total)</t>
        </is>
      </c>
      <c r="B14">
        <f>B8*B13</f>
        <v/>
      </c>
    </row>
    <row r="15">
      <c r="A15" s="14" t="inlineStr">
        <is>
          <t>Precio negociado de entrada</t>
        </is>
      </c>
      <c r="B15" s="15" t="n">
        <v>7395</v>
      </c>
    </row>
    <row r="18">
      <c r="A18" s="13" t="inlineStr">
        <is>
          <t>MARCA A MERCADO DIARIA</t>
        </is>
      </c>
      <c r="F18" s="16" t="inlineStr">
        <is>
          <t>Precios de liquidacion ILUSTRATIVOS (reemplazar por settlement oficial CME)</t>
        </is>
      </c>
    </row>
    <row r="19">
      <c r="A19" s="3" t="inlineStr">
        <is>
          <t>Fecha</t>
        </is>
      </c>
      <c r="B19" s="3" t="inlineStr">
        <is>
          <t>Dia</t>
        </is>
      </c>
      <c r="C19" s="3" t="inlineStr">
        <is>
          <t>Precio negociado</t>
        </is>
      </c>
      <c r="D19" s="3" t="inlineStr">
        <is>
          <t>Precio liquidacion</t>
        </is>
      </c>
      <c r="E19" s="3" t="inlineStr">
        <is>
          <t>G/P por unidad</t>
        </is>
      </c>
      <c r="F19" s="3" t="inlineStr">
        <is>
          <t>G/P total diaria</t>
        </is>
      </c>
      <c r="G19" s="3" t="inlineStr">
        <is>
          <t>G/P acumulada</t>
        </is>
      </c>
      <c r="H19" s="3" t="inlineStr">
        <is>
          <t>Cuenta de Margen</t>
        </is>
      </c>
      <c r="I19" s="3" t="inlineStr">
        <is>
          <t>Margin Call</t>
        </is>
      </c>
    </row>
    <row r="20">
      <c r="A20" s="4" t="inlineStr">
        <is>
          <t>2026-06-18</t>
        </is>
      </c>
      <c r="B20" s="4" t="inlineStr">
        <is>
          <t>Jue</t>
        </is>
      </c>
      <c r="C20" s="17">
        <f>$B$15</f>
        <v/>
      </c>
      <c r="D20" s="17" t="n">
        <v>7395</v>
      </c>
      <c r="E20" s="17">
        <f>(D20-$B$15)*$B$7</f>
        <v/>
      </c>
      <c r="F20" s="6">
        <f>E20*$B$10</f>
        <v/>
      </c>
      <c r="G20" s="5">
        <f>F20</f>
        <v/>
      </c>
      <c r="H20" s="5">
        <f>$B$12+F20+I20</f>
        <v/>
      </c>
      <c r="I20" s="5">
        <f>IF($B$12+F20&lt;$B$14,$B$12-($B$12+F20),0)</f>
        <v/>
      </c>
    </row>
    <row r="21">
      <c r="A21" s="4" t="inlineStr">
        <is>
          <t>2026-06-22</t>
        </is>
      </c>
      <c r="B21" s="4" t="inlineStr">
        <is>
          <t>Lun</t>
        </is>
      </c>
      <c r="C21" s="4" t="inlineStr">
        <is>
          <t>—</t>
        </is>
      </c>
      <c r="D21" s="17" t="n">
        <v>7360</v>
      </c>
      <c r="E21" s="17">
        <f>(D21-$D$20)*$B$7</f>
        <v/>
      </c>
      <c r="F21" s="18">
        <f>E21*$B$10</f>
        <v/>
      </c>
      <c r="G21" s="5">
        <f>G20+F21</f>
        <v/>
      </c>
      <c r="H21" s="5">
        <f>$H$20+F21+I21</f>
        <v/>
      </c>
      <c r="I21" s="19">
        <f>IF($H$20+F21&lt;$B$14,$B$12-($H$20+F21),0)</f>
        <v/>
      </c>
    </row>
    <row r="22">
      <c r="A22" s="4" t="inlineStr">
        <is>
          <t>2026-06-23</t>
        </is>
      </c>
      <c r="B22" s="4" t="inlineStr">
        <is>
          <t>Mar</t>
        </is>
      </c>
      <c r="C22" s="4" t="inlineStr">
        <is>
          <t>—</t>
        </is>
      </c>
      <c r="D22" s="17" t="n">
        <v>7402</v>
      </c>
      <c r="E22" s="17">
        <f>(D22-$D$21)*$B$7</f>
        <v/>
      </c>
      <c r="F22" s="6">
        <f>E22*$B$10</f>
        <v/>
      </c>
      <c r="G22" s="5">
        <f>G21+F22</f>
        <v/>
      </c>
      <c r="H22" s="5">
        <f>$H$21+F22+I22</f>
        <v/>
      </c>
      <c r="I22" s="5">
        <f>IF($H$21+F22&lt;$B$14,$B$12-($H$21+F22),0)</f>
        <v/>
      </c>
    </row>
    <row r="23">
      <c r="A23" s="4" t="inlineStr">
        <is>
          <t>2026-06-24</t>
        </is>
      </c>
      <c r="B23" s="4" t="inlineStr">
        <is>
          <t>Mie</t>
        </is>
      </c>
      <c r="C23" s="4" t="inlineStr">
        <is>
          <t>—</t>
        </is>
      </c>
      <c r="D23" s="17" t="n">
        <v>7430</v>
      </c>
      <c r="E23" s="17">
        <f>(D23-$D$22)*$B$7</f>
        <v/>
      </c>
      <c r="F23" s="6">
        <f>E23*$B$10</f>
        <v/>
      </c>
      <c r="G23" s="5">
        <f>G22+F23</f>
        <v/>
      </c>
      <c r="H23" s="5">
        <f>$H$22+F23+I23</f>
        <v/>
      </c>
      <c r="I23" s="5">
        <f>IF($H$22+F23&lt;$B$14,$B$12-($H$22+F23),0)</f>
        <v/>
      </c>
    </row>
    <row r="24">
      <c r="A24" s="4" t="inlineStr">
        <is>
          <t>2026-06-25</t>
        </is>
      </c>
      <c r="B24" s="4" t="inlineStr">
        <is>
          <t>Jue</t>
        </is>
      </c>
      <c r="C24" s="4" t="inlineStr">
        <is>
          <t>—</t>
        </is>
      </c>
      <c r="D24" s="17" t="n">
        <v>7455</v>
      </c>
      <c r="E24" s="17">
        <f>(D24-$D$23)*$B$7</f>
        <v/>
      </c>
      <c r="F24" s="6">
        <f>E24*$B$10</f>
        <v/>
      </c>
      <c r="G24" s="5">
        <f>G23+F24</f>
        <v/>
      </c>
      <c r="H24" s="5">
        <f>$H$23+F24+I24</f>
        <v/>
      </c>
      <c r="I24" s="5">
        <f>IF($H$23+F24&lt;$B$14,$B$12-($H$23+F24),0)</f>
        <v/>
      </c>
    </row>
    <row r="25">
      <c r="A25" s="4" t="inlineStr">
        <is>
          <t>2026-06-26</t>
        </is>
      </c>
      <c r="B25" s="4" t="inlineStr">
        <is>
          <t>Vie</t>
        </is>
      </c>
      <c r="C25" s="4" t="inlineStr">
        <is>
          <t>—</t>
        </is>
      </c>
      <c r="D25" s="17" t="n">
        <v>7448</v>
      </c>
      <c r="E25" s="17">
        <f>(D25-$D$24)*$B$7</f>
        <v/>
      </c>
      <c r="F25" s="18">
        <f>E25*$B$10</f>
        <v/>
      </c>
      <c r="G25" s="5">
        <f>G24+F25</f>
        <v/>
      </c>
      <c r="H25" s="5">
        <f>$H$24+F25+I25</f>
        <v/>
      </c>
      <c r="I25" s="5">
        <f>IF($H$24+F25&lt;$B$14,$B$12-($H$24+F25),0)</f>
        <v/>
      </c>
    </row>
    <row r="26">
      <c r="A26" s="4" t="inlineStr">
        <is>
          <t>2026-06-29</t>
        </is>
      </c>
      <c r="B26" s="4" t="inlineStr">
        <is>
          <t>Lun</t>
        </is>
      </c>
      <c r="C26" s="4" t="inlineStr">
        <is>
          <t>—</t>
        </is>
      </c>
      <c r="D26" s="17" t="n">
        <v>7470</v>
      </c>
      <c r="E26" s="17">
        <f>(D26-$D$25)*$B$7</f>
        <v/>
      </c>
      <c r="F26" s="6">
        <f>E26*$B$10</f>
        <v/>
      </c>
      <c r="G26" s="5">
        <f>G25+F26</f>
        <v/>
      </c>
      <c r="H26" s="5">
        <f>$H$25+F26+I26</f>
        <v/>
      </c>
      <c r="I26" s="5">
        <f>IF($H$25+F26&lt;$B$14,$B$12-($H$25+F26),0)</f>
        <v/>
      </c>
    </row>
    <row r="27">
      <c r="A27" s="4" t="inlineStr">
        <is>
          <t>2026-06-30</t>
        </is>
      </c>
      <c r="B27" s="4" t="inlineStr">
        <is>
          <t>Mar</t>
        </is>
      </c>
      <c r="C27" s="4" t="inlineStr">
        <is>
          <t>—</t>
        </is>
      </c>
      <c r="D27" s="17" t="n">
        <v>7495</v>
      </c>
      <c r="E27" s="17">
        <f>(D27-$D$26)*$B$7</f>
        <v/>
      </c>
      <c r="F27" s="6">
        <f>E27*$B$10</f>
        <v/>
      </c>
      <c r="G27" s="5">
        <f>G26+F27</f>
        <v/>
      </c>
      <c r="H27" s="5">
        <f>$H$26+F27+I27</f>
        <v/>
      </c>
      <c r="I27" s="5">
        <f>IF($H$26+F27&lt;$B$14,$B$12-($H$26+F27),0)</f>
        <v/>
      </c>
    </row>
    <row r="28">
      <c r="A28" s="4" t="inlineStr">
        <is>
          <t>2026-07-01</t>
        </is>
      </c>
      <c r="B28" s="4" t="inlineStr">
        <is>
          <t>Mie</t>
        </is>
      </c>
      <c r="C28" s="4" t="inlineStr">
        <is>
          <t>—</t>
        </is>
      </c>
      <c r="D28" s="17" t="n">
        <v>7480</v>
      </c>
      <c r="E28" s="17">
        <f>(D28-$D$27)*$B$7</f>
        <v/>
      </c>
      <c r="F28" s="18">
        <f>E28*$B$10</f>
        <v/>
      </c>
      <c r="G28" s="5">
        <f>G27+F28</f>
        <v/>
      </c>
      <c r="H28" s="5">
        <f>$H$27+F28+I28</f>
        <v/>
      </c>
      <c r="I28" s="5">
        <f>IF($H$27+F28&lt;$B$14,$B$12-($H$27+F28),0)</f>
        <v/>
      </c>
    </row>
    <row r="29">
      <c r="A29" s="4" t="inlineStr">
        <is>
          <t>2026-07-02</t>
        </is>
      </c>
      <c r="B29" s="4" t="inlineStr">
        <is>
          <t>Jue</t>
        </is>
      </c>
      <c r="C29" s="4" t="inlineStr">
        <is>
          <t>—</t>
        </is>
      </c>
      <c r="D29" s="17" t="n">
        <v>7448</v>
      </c>
      <c r="E29" s="17">
        <f>(D29-$D$28)*$B$7</f>
        <v/>
      </c>
      <c r="F29" s="18">
        <f>E29*$B$10</f>
        <v/>
      </c>
      <c r="G29" s="5">
        <f>G28+F29</f>
        <v/>
      </c>
      <c r="H29" s="5">
        <f>$H$28+F29+I29</f>
        <v/>
      </c>
      <c r="I29" s="5">
        <f>IF($H$28+F29&lt;$B$14,$B$12-($H$28+F29),0)</f>
        <v/>
      </c>
    </row>
    <row r="30">
      <c r="A30" s="4" t="inlineStr">
        <is>
          <t>2026-07-06</t>
        </is>
      </c>
      <c r="B30" s="4" t="inlineStr">
        <is>
          <t>Lun</t>
        </is>
      </c>
      <c r="C30" s="4" t="inlineStr">
        <is>
          <t>—</t>
        </is>
      </c>
      <c r="D30" s="17" t="n">
        <v>7502</v>
      </c>
      <c r="E30" s="17">
        <f>(D30-$D$29)*$B$7</f>
        <v/>
      </c>
      <c r="F30" s="6">
        <f>E30*$B$10</f>
        <v/>
      </c>
      <c r="G30" s="5">
        <f>G29+F30</f>
        <v/>
      </c>
      <c r="H30" s="5">
        <f>$H$29+F30+I30</f>
        <v/>
      </c>
      <c r="I30" s="5">
        <f>IF($H$29+F30&lt;$B$14,$B$12-($H$29+F30),0)</f>
        <v/>
      </c>
    </row>
    <row r="31">
      <c r="A31" s="4" t="inlineStr">
        <is>
          <t>2026-07-07</t>
        </is>
      </c>
      <c r="B31" s="4" t="inlineStr">
        <is>
          <t>Mar</t>
        </is>
      </c>
      <c r="C31" s="4" t="inlineStr">
        <is>
          <t>—</t>
        </is>
      </c>
      <c r="D31" s="17" t="n">
        <v>7525</v>
      </c>
      <c r="E31" s="17">
        <f>(D31-$D$30)*$B$7</f>
        <v/>
      </c>
      <c r="F31" s="6">
        <f>E31*$B$10</f>
        <v/>
      </c>
      <c r="G31" s="5">
        <f>G30+F31</f>
        <v/>
      </c>
      <c r="H31" s="5">
        <f>$H$30+F31+I31</f>
        <v/>
      </c>
      <c r="I31" s="5">
        <f>IF($H$30+F31&lt;$B$14,$B$12-($H$30+F31),0)</f>
        <v/>
      </c>
    </row>
    <row r="32">
      <c r="A32" s="4" t="inlineStr">
        <is>
          <t>2026-07-08</t>
        </is>
      </c>
      <c r="B32" s="4" t="inlineStr">
        <is>
          <t>Mie</t>
        </is>
      </c>
      <c r="C32" s="4" t="inlineStr">
        <is>
          <t>—</t>
        </is>
      </c>
      <c r="D32" s="17" t="n">
        <v>7540</v>
      </c>
      <c r="E32" s="17">
        <f>(D32-$D$31)*$B$7</f>
        <v/>
      </c>
      <c r="F32" s="6">
        <f>E32*$B$10</f>
        <v/>
      </c>
      <c r="G32" s="5">
        <f>G31+F32</f>
        <v/>
      </c>
      <c r="H32" s="5">
        <f>$H$31+F32+I32</f>
        <v/>
      </c>
      <c r="I32" s="5">
        <f>IF($H$31+F32&lt;$B$14,$B$12-($H$31+F32),0)</f>
        <v/>
      </c>
    </row>
    <row r="33">
      <c r="A33" s="4" t="inlineStr">
        <is>
          <t>2026-07-09</t>
        </is>
      </c>
      <c r="B33" s="4" t="inlineStr">
        <is>
          <t>Jue</t>
        </is>
      </c>
      <c r="C33" s="4" t="inlineStr">
        <is>
          <t>—</t>
        </is>
      </c>
      <c r="D33" s="17" t="n">
        <v>7561</v>
      </c>
      <c r="E33" s="17">
        <f>(D33-$D$32)*$B$7</f>
        <v/>
      </c>
      <c r="F33" s="6">
        <f>E33*$B$10</f>
        <v/>
      </c>
      <c r="G33" s="5">
        <f>G32+F33</f>
        <v/>
      </c>
      <c r="H33" s="5">
        <f>$H$32+F33+I33</f>
        <v/>
      </c>
      <c r="I33" s="5">
        <f>IF($H$32+F33&lt;$B$14,$B$12-($H$32+F33),0)</f>
        <v/>
      </c>
    </row>
    <row r="35">
      <c r="A35" s="13" t="inlineStr">
        <is>
          <t>RESUMEN</t>
        </is>
      </c>
    </row>
    <row r="36">
      <c r="A36" s="14" t="inlineStr">
        <is>
          <t>G/P acumulada total (USD)</t>
        </is>
      </c>
      <c r="C36" s="20">
        <f>G33</f>
        <v/>
      </c>
    </row>
    <row r="37">
      <c r="A37" s="14" t="inlineStr">
        <is>
          <t>Reposiciones por Margin Call (USD)</t>
        </is>
      </c>
      <c r="C37" s="20">
        <f>SUM(I20:I33)</f>
        <v/>
      </c>
    </row>
    <row r="38">
      <c r="A38" s="14" t="inlineStr">
        <is>
          <t>Cuenta de margen final (USD)</t>
        </is>
      </c>
      <c r="C38" s="20">
        <f>H33</f>
        <v/>
      </c>
    </row>
    <row r="39">
      <c r="A39" s="14" t="inlineStr">
        <is>
          <t>Valor nocional inicial (USD)</t>
        </is>
      </c>
      <c r="C39" s="20">
        <f>$B$15*$B$10</f>
        <v/>
      </c>
    </row>
    <row r="40">
      <c r="A40" s="14" t="inlineStr">
        <is>
          <t>Margen inicial total (USD)</t>
        </is>
      </c>
      <c r="C40" s="20">
        <f>$B$12</f>
        <v/>
      </c>
    </row>
    <row r="41">
      <c r="A41" s="14" t="inlineStr">
        <is>
          <t>Retorno s/ margen inicial</t>
        </is>
      </c>
      <c r="C41" s="21">
        <f>G33/$B$12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2026-07-06T06:38:15Z</dcterms:created>
  <dcterms:modified xmlns:dcterms="http://purl.org/dc/terms/" xmlns:xsi="http://www.w3.org/2001/XMLSchema-instance" xsi:type="dcterms:W3CDTF">2026-07-06T06:38:15Z</dcterms:modified>
</cp:coreProperties>
</file>